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d\OneDrive\Desktop\"/>
    </mc:Choice>
  </mc:AlternateContent>
  <xr:revisionPtr revIDLastSave="0" documentId="13_ncr:1_{A881FDDD-5AB8-48CF-B908-97BC7C10B41D}" xr6:coauthVersionLast="47" xr6:coauthVersionMax="47" xr10:uidLastSave="{00000000-0000-0000-0000-000000000000}"/>
  <bookViews>
    <workbookView xWindow="-108" yWindow="-108" windowWidth="23256" windowHeight="12456" xr2:uid="{950667E8-1025-4ECA-9CEB-E04C105520FE}"/>
  </bookViews>
  <sheets>
    <sheet name="Random" sheetId="1" r:id="rId1"/>
    <sheet name="Sheet2" sheetId="2" r:id="rId2"/>
    <sheet name="Sheet3" sheetId="3" r:id="rId3"/>
    <sheet name="Winter" sheetId="4" r:id="rId4"/>
    <sheet name="Additive Seasonality" sheetId="5" r:id="rId5"/>
    <sheet name="Regression Analysis" sheetId="6" r:id="rId6"/>
    <sheet name="Sheet7" sheetId="7" r:id="rId7"/>
    <sheet name="AutoReg" sheetId="8" r:id="rId8"/>
    <sheet name="Sheet5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8" l="1"/>
  <c r="J14" i="8"/>
  <c r="J13" i="8"/>
  <c r="J12" i="8"/>
  <c r="J11" i="8"/>
  <c r="J10" i="8"/>
  <c r="J9" i="8"/>
  <c r="J8" i="8"/>
  <c r="J7" i="8"/>
  <c r="J6" i="8"/>
  <c r="J5" i="8"/>
  <c r="J4" i="8"/>
  <c r="J3" i="8"/>
  <c r="I13" i="8"/>
  <c r="I12" i="8"/>
  <c r="I11" i="8"/>
  <c r="I10" i="8"/>
  <c r="I9" i="8"/>
  <c r="I8" i="8"/>
  <c r="I7" i="8"/>
  <c r="I6" i="8"/>
  <c r="I5" i="8"/>
  <c r="I4" i="8"/>
  <c r="I3" i="8"/>
  <c r="H13" i="8"/>
  <c r="H12" i="8"/>
  <c r="H11" i="8"/>
  <c r="H10" i="8"/>
  <c r="H9" i="8"/>
  <c r="H8" i="8"/>
  <c r="H7" i="8"/>
  <c r="H6" i="8"/>
  <c r="H5" i="8"/>
  <c r="H4" i="8"/>
  <c r="H3" i="8"/>
  <c r="G15" i="8"/>
  <c r="E15" i="8"/>
  <c r="E14" i="8"/>
  <c r="F15" i="8"/>
  <c r="F14" i="8"/>
  <c r="C8" i="8"/>
  <c r="B15" i="8"/>
  <c r="C7" i="8" s="1"/>
  <c r="B14" i="8"/>
  <c r="L22" i="6"/>
  <c r="G13" i="6"/>
  <c r="H13" i="6"/>
  <c r="L21" i="6"/>
  <c r="L20" i="6"/>
  <c r="L19" i="6"/>
  <c r="L16" i="6"/>
  <c r="L15" i="6"/>
  <c r="C14" i="6"/>
  <c r="H12" i="6" s="1"/>
  <c r="B14" i="6"/>
  <c r="C13" i="6"/>
  <c r="B13" i="6"/>
  <c r="E12" i="6"/>
  <c r="E11" i="6"/>
  <c r="E10" i="6"/>
  <c r="E9" i="6"/>
  <c r="E8" i="6"/>
  <c r="E7" i="6"/>
  <c r="E6" i="6"/>
  <c r="E5" i="6"/>
  <c r="E4" i="6"/>
  <c r="E3" i="6"/>
  <c r="E2" i="6"/>
  <c r="D12" i="6"/>
  <c r="D11" i="6"/>
  <c r="D10" i="6"/>
  <c r="D9" i="6"/>
  <c r="D8" i="6"/>
  <c r="D7" i="6"/>
  <c r="D6" i="6"/>
  <c r="D5" i="6"/>
  <c r="D4" i="6"/>
  <c r="D3" i="6"/>
  <c r="D2" i="6"/>
  <c r="H31" i="5"/>
  <c r="H33" i="5"/>
  <c r="H32" i="5"/>
  <c r="H30" i="5"/>
  <c r="H7" i="5"/>
  <c r="G7" i="5"/>
  <c r="F7" i="5"/>
  <c r="E7" i="5"/>
  <c r="E6" i="5"/>
  <c r="H6" i="5"/>
  <c r="G6" i="5"/>
  <c r="G5" i="5"/>
  <c r="G4" i="5"/>
  <c r="G3" i="5"/>
  <c r="G2" i="5"/>
  <c r="F5" i="5"/>
  <c r="E5" i="5"/>
  <c r="H33" i="4"/>
  <c r="H32" i="4"/>
  <c r="H31" i="4"/>
  <c r="H30" i="4"/>
  <c r="H7" i="4"/>
  <c r="G7" i="4"/>
  <c r="E7" i="4"/>
  <c r="F7" i="4" s="1"/>
  <c r="H8" i="4" s="1"/>
  <c r="F6" i="4"/>
  <c r="G6" i="4"/>
  <c r="E6" i="4"/>
  <c r="H6" i="4"/>
  <c r="G5" i="4"/>
  <c r="G4" i="4"/>
  <c r="G3" i="4"/>
  <c r="G2" i="4"/>
  <c r="F5" i="4"/>
  <c r="E5" i="4"/>
  <c r="G23" i="3"/>
  <c r="G22" i="3"/>
  <c r="F23" i="3"/>
  <c r="E23" i="3"/>
  <c r="D23" i="3"/>
  <c r="C23" i="3"/>
  <c r="F22" i="3"/>
  <c r="E22" i="3"/>
  <c r="D22" i="3"/>
  <c r="C22" i="3"/>
  <c r="B23" i="3"/>
  <c r="B22" i="3"/>
  <c r="G21" i="3"/>
  <c r="G20" i="3"/>
  <c r="G19" i="3"/>
  <c r="G18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B21" i="3"/>
  <c r="B20" i="3"/>
  <c r="B19" i="3"/>
  <c r="B18" i="3"/>
  <c r="G14" i="3"/>
  <c r="G12" i="3"/>
  <c r="G11" i="3"/>
  <c r="G10" i="3"/>
  <c r="G9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B12" i="3"/>
  <c r="B11" i="3"/>
  <c r="B10" i="3"/>
  <c r="B9" i="3"/>
  <c r="H4" i="3"/>
  <c r="H3" i="3"/>
  <c r="H2" i="3"/>
  <c r="H1" i="3"/>
  <c r="G4" i="3"/>
  <c r="G3" i="3"/>
  <c r="G2" i="3"/>
  <c r="G1" i="3"/>
  <c r="F6" i="3"/>
  <c r="E6" i="3"/>
  <c r="D6" i="3"/>
  <c r="C6" i="3"/>
  <c r="B6" i="3"/>
  <c r="F5" i="3"/>
  <c r="E5" i="3"/>
  <c r="D5" i="3"/>
  <c r="C5" i="3"/>
  <c r="B5" i="3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5" i="2"/>
  <c r="F4" i="2"/>
  <c r="E4" i="2"/>
  <c r="F3" i="2"/>
  <c r="E3" i="2"/>
  <c r="G29" i="1"/>
  <c r="L28" i="1"/>
  <c r="L27" i="1"/>
  <c r="L26" i="1"/>
  <c r="L25" i="1"/>
  <c r="L24" i="1"/>
  <c r="L23" i="1"/>
  <c r="L22" i="1"/>
  <c r="L21" i="1"/>
  <c r="L19" i="1"/>
  <c r="L20" i="1"/>
  <c r="L18" i="1"/>
  <c r="K28" i="1"/>
  <c r="K27" i="1"/>
  <c r="K26" i="1"/>
  <c r="K25" i="1"/>
  <c r="K24" i="1"/>
  <c r="K23" i="1"/>
  <c r="K22" i="1"/>
  <c r="K21" i="1"/>
  <c r="K20" i="1"/>
  <c r="K19" i="1"/>
  <c r="K18" i="1"/>
  <c r="H29" i="1"/>
  <c r="J28" i="1"/>
  <c r="J27" i="1"/>
  <c r="J26" i="1"/>
  <c r="J25" i="1"/>
  <c r="J24" i="1"/>
  <c r="J23" i="1"/>
  <c r="J22" i="1"/>
  <c r="J21" i="1"/>
  <c r="J20" i="1"/>
  <c r="J19" i="1"/>
  <c r="J18" i="1"/>
  <c r="I28" i="1"/>
  <c r="I27" i="1"/>
  <c r="I26" i="1"/>
  <c r="I25" i="1"/>
  <c r="I24" i="1"/>
  <c r="I23" i="1"/>
  <c r="I22" i="1"/>
  <c r="I21" i="1"/>
  <c r="I20" i="1"/>
  <c r="I19" i="1"/>
  <c r="I18" i="1"/>
  <c r="H28" i="1"/>
  <c r="H27" i="1"/>
  <c r="H26" i="1"/>
  <c r="H25" i="1"/>
  <c r="H24" i="1"/>
  <c r="H23" i="1"/>
  <c r="H22" i="1"/>
  <c r="H21" i="1"/>
  <c r="H20" i="1"/>
  <c r="H19" i="1"/>
  <c r="H18" i="1"/>
  <c r="G28" i="1"/>
  <c r="G27" i="1"/>
  <c r="G26" i="1"/>
  <c r="G25" i="1"/>
  <c r="G24" i="1"/>
  <c r="G23" i="1"/>
  <c r="G22" i="1"/>
  <c r="G21" i="1"/>
  <c r="G20" i="1"/>
  <c r="G19" i="1"/>
  <c r="G18" i="1"/>
  <c r="F19" i="1"/>
  <c r="F20" i="1" s="1"/>
  <c r="F21" i="1" s="1"/>
  <c r="F22" i="1" s="1"/>
  <c r="F23" i="1" s="1"/>
  <c r="F24" i="1" s="1"/>
  <c r="F25" i="1" s="1"/>
  <c r="F26" i="1" s="1"/>
  <c r="F27" i="1" s="1"/>
  <c r="F28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D19" i="1"/>
  <c r="D20" i="1" s="1"/>
  <c r="D21" i="1" s="1"/>
  <c r="D22" i="1" s="1"/>
  <c r="D23" i="1" s="1"/>
  <c r="D24" i="1" s="1"/>
  <c r="D25" i="1" s="1"/>
  <c r="D26" i="1" s="1"/>
  <c r="D27" i="1" s="1"/>
  <c r="D28" i="1" s="1"/>
  <c r="F18" i="1"/>
  <c r="E18" i="1"/>
  <c r="D18" i="1"/>
  <c r="C19" i="1"/>
  <c r="C20" i="1" s="1"/>
  <c r="C21" i="1" s="1"/>
  <c r="C22" i="1" s="1"/>
  <c r="C23" i="1" s="1"/>
  <c r="C24" i="1" s="1"/>
  <c r="C25" i="1" s="1"/>
  <c r="C26" i="1" s="1"/>
  <c r="C27" i="1" s="1"/>
  <c r="C28" i="1" s="1"/>
  <c r="C18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D8" i="8" l="1"/>
  <c r="F7" i="8"/>
  <c r="E8" i="8"/>
  <c r="C9" i="8"/>
  <c r="C2" i="8"/>
  <c r="C3" i="8"/>
  <c r="C4" i="8"/>
  <c r="C6" i="8"/>
  <c r="C10" i="8"/>
  <c r="F8" i="8"/>
  <c r="C11" i="8"/>
  <c r="C12" i="8"/>
  <c r="D9" i="8"/>
  <c r="C5" i="8"/>
  <c r="C13" i="8"/>
  <c r="H3" i="6"/>
  <c r="H5" i="6"/>
  <c r="H7" i="6"/>
  <c r="H11" i="6"/>
  <c r="H6" i="6"/>
  <c r="H8" i="6"/>
  <c r="H9" i="6"/>
  <c r="H2" i="6"/>
  <c r="H10" i="6"/>
  <c r="H4" i="6"/>
  <c r="E13" i="6"/>
  <c r="D14" i="6"/>
  <c r="E14" i="6"/>
  <c r="D13" i="6"/>
  <c r="H8" i="5"/>
  <c r="E8" i="5"/>
  <c r="F6" i="5"/>
  <c r="E8" i="4"/>
  <c r="F5" i="2"/>
  <c r="E6" i="2" s="1"/>
  <c r="F4" i="8" l="1"/>
  <c r="D5" i="8"/>
  <c r="D4" i="8"/>
  <c r="E4" i="8" s="1"/>
  <c r="F3" i="8"/>
  <c r="F13" i="8"/>
  <c r="E13" i="8"/>
  <c r="F12" i="8"/>
  <c r="D13" i="8"/>
  <c r="F5" i="8"/>
  <c r="E5" i="8"/>
  <c r="D6" i="8"/>
  <c r="E6" i="8" s="1"/>
  <c r="D3" i="8"/>
  <c r="E3" i="8" s="1"/>
  <c r="F2" i="8"/>
  <c r="E9" i="8"/>
  <c r="D10" i="8"/>
  <c r="E10" i="8" s="1"/>
  <c r="F9" i="8"/>
  <c r="D12" i="8"/>
  <c r="E12" i="8" s="1"/>
  <c r="F11" i="8"/>
  <c r="F10" i="8"/>
  <c r="D11" i="8"/>
  <c r="E11" i="8" s="1"/>
  <c r="F6" i="8"/>
  <c r="D7" i="8"/>
  <c r="E7" i="8" s="1"/>
  <c r="L11" i="6"/>
  <c r="L12" i="6" s="1"/>
  <c r="G8" i="5"/>
  <c r="F8" i="5"/>
  <c r="E9" i="5" s="1"/>
  <c r="H9" i="5"/>
  <c r="G8" i="4"/>
  <c r="F8" i="4"/>
  <c r="E9" i="4" s="1"/>
  <c r="F6" i="2"/>
  <c r="E7" i="2"/>
  <c r="F10" i="6" l="1"/>
  <c r="G10" i="6" s="1"/>
  <c r="F2" i="6"/>
  <c r="G2" i="6" s="1"/>
  <c r="F9" i="6"/>
  <c r="G9" i="6" s="1"/>
  <c r="F8" i="6"/>
  <c r="G8" i="6" s="1"/>
  <c r="F7" i="6"/>
  <c r="G7" i="6" s="1"/>
  <c r="F5" i="6"/>
  <c r="G5" i="6" s="1"/>
  <c r="F6" i="6"/>
  <c r="G6" i="6" s="1"/>
  <c r="F12" i="6"/>
  <c r="G12" i="6" s="1"/>
  <c r="F4" i="6"/>
  <c r="G4" i="6" s="1"/>
  <c r="F11" i="6"/>
  <c r="G11" i="6" s="1"/>
  <c r="F3" i="6"/>
  <c r="G3" i="6" s="1"/>
  <c r="G9" i="5"/>
  <c r="F9" i="5"/>
  <c r="H10" i="5" s="1"/>
  <c r="F9" i="4"/>
  <c r="H10" i="4"/>
  <c r="E10" i="4"/>
  <c r="G9" i="4"/>
  <c r="H9" i="4"/>
  <c r="F7" i="2"/>
  <c r="E8" i="2" s="1"/>
  <c r="E10" i="5" l="1"/>
  <c r="G10" i="4"/>
  <c r="F10" i="4"/>
  <c r="H11" i="4" s="1"/>
  <c r="F8" i="2"/>
  <c r="E9" i="2"/>
  <c r="G10" i="5" l="1"/>
  <c r="F10" i="5"/>
  <c r="H11" i="5"/>
  <c r="E11" i="5"/>
  <c r="E11" i="4"/>
  <c r="F9" i="2"/>
  <c r="E10" i="2"/>
  <c r="G11" i="5" l="1"/>
  <c r="F11" i="5"/>
  <c r="H12" i="5" s="1"/>
  <c r="E12" i="5"/>
  <c r="F11" i="4"/>
  <c r="H12" i="4"/>
  <c r="G11" i="4"/>
  <c r="E12" i="4"/>
  <c r="F10" i="2"/>
  <c r="E11" i="2" s="1"/>
  <c r="G12" i="5" l="1"/>
  <c r="F12" i="5"/>
  <c r="H13" i="5"/>
  <c r="E13" i="5"/>
  <c r="G12" i="4"/>
  <c r="F12" i="4"/>
  <c r="E13" i="4" s="1"/>
  <c r="F11" i="2"/>
  <c r="E12" i="2"/>
  <c r="G13" i="5" l="1"/>
  <c r="F13" i="5"/>
  <c r="H14" i="5" s="1"/>
  <c r="E14" i="5"/>
  <c r="F13" i="4"/>
  <c r="H14" i="4" s="1"/>
  <c r="G13" i="4"/>
  <c r="H13" i="4"/>
  <c r="F12" i="2"/>
  <c r="E13" i="2" s="1"/>
  <c r="G14" i="5" l="1"/>
  <c r="F14" i="5"/>
  <c r="H15" i="5" s="1"/>
  <c r="E14" i="4"/>
  <c r="F13" i="2"/>
  <c r="E14" i="2" s="1"/>
  <c r="E15" i="5" l="1"/>
  <c r="G14" i="4"/>
  <c r="F14" i="4"/>
  <c r="H15" i="4" s="1"/>
  <c r="F14" i="2"/>
  <c r="E15" i="2" s="1"/>
  <c r="G15" i="5" l="1"/>
  <c r="F15" i="5"/>
  <c r="H16" i="5" s="1"/>
  <c r="E15" i="4"/>
  <c r="F15" i="2"/>
  <c r="E16" i="2" s="1"/>
  <c r="E16" i="5" l="1"/>
  <c r="F15" i="4"/>
  <c r="H16" i="4" s="1"/>
  <c r="G15" i="4"/>
  <c r="E16" i="4"/>
  <c r="F16" i="2"/>
  <c r="E17" i="2"/>
  <c r="G16" i="5" l="1"/>
  <c r="F16" i="5"/>
  <c r="H17" i="5" s="1"/>
  <c r="E17" i="5"/>
  <c r="G16" i="4"/>
  <c r="F16" i="4"/>
  <c r="H17" i="4"/>
  <c r="E17" i="4"/>
  <c r="F17" i="2"/>
  <c r="E18" i="2"/>
  <c r="G17" i="5" l="1"/>
  <c r="F17" i="5"/>
  <c r="H18" i="5" s="1"/>
  <c r="F17" i="4"/>
  <c r="H18" i="4" s="1"/>
  <c r="G17" i="4"/>
  <c r="E18" i="4"/>
  <c r="F18" i="2"/>
  <c r="E19" i="2"/>
  <c r="E18" i="5" l="1"/>
  <c r="G18" i="4"/>
  <c r="F18" i="4"/>
  <c r="H19" i="4" s="1"/>
  <c r="E19" i="4"/>
  <c r="F19" i="2"/>
  <c r="E20" i="2" s="1"/>
  <c r="G18" i="5" l="1"/>
  <c r="F18" i="5"/>
  <c r="H19" i="5" s="1"/>
  <c r="E19" i="5"/>
  <c r="F19" i="4"/>
  <c r="H20" i="4"/>
  <c r="G19" i="4"/>
  <c r="E20" i="4"/>
  <c r="F20" i="2"/>
  <c r="E21" i="2"/>
  <c r="G19" i="5" l="1"/>
  <c r="F19" i="5"/>
  <c r="H20" i="5" s="1"/>
  <c r="E20" i="5"/>
  <c r="G20" i="4"/>
  <c r="F20" i="4"/>
  <c r="H21" i="4"/>
  <c r="E21" i="4"/>
  <c r="F21" i="2"/>
  <c r="E22" i="2" s="1"/>
  <c r="G20" i="5" l="1"/>
  <c r="F20" i="5"/>
  <c r="H21" i="5"/>
  <c r="E21" i="5"/>
  <c r="F21" i="4"/>
  <c r="H22" i="4"/>
  <c r="G21" i="4"/>
  <c r="E22" i="4"/>
  <c r="F22" i="2"/>
  <c r="E23" i="2" s="1"/>
  <c r="G21" i="5" l="1"/>
  <c r="F21" i="5"/>
  <c r="H22" i="5" s="1"/>
  <c r="G22" i="4"/>
  <c r="F22" i="4"/>
  <c r="H23" i="4"/>
  <c r="E23" i="4"/>
  <c r="F23" i="2"/>
  <c r="E24" i="2"/>
  <c r="E22" i="5" l="1"/>
  <c r="F23" i="4"/>
  <c r="H24" i="4" s="1"/>
  <c r="G23" i="4"/>
  <c r="E24" i="4"/>
  <c r="F24" i="2"/>
  <c r="E25" i="2"/>
  <c r="G22" i="5" l="1"/>
  <c r="F22" i="5"/>
  <c r="H23" i="5" s="1"/>
  <c r="E23" i="5"/>
  <c r="G24" i="4"/>
  <c r="F24" i="4"/>
  <c r="H25" i="4"/>
  <c r="E25" i="4"/>
  <c r="F25" i="2"/>
  <c r="E26" i="2" s="1"/>
  <c r="G23" i="5" l="1"/>
  <c r="F23" i="5"/>
  <c r="H24" i="5" s="1"/>
  <c r="E24" i="5"/>
  <c r="F25" i="4"/>
  <c r="H26" i="4" s="1"/>
  <c r="G25" i="4"/>
  <c r="E26" i="4"/>
  <c r="F26" i="2"/>
  <c r="E27" i="2" s="1"/>
  <c r="G24" i="5" l="1"/>
  <c r="F24" i="5"/>
  <c r="H25" i="5"/>
  <c r="E25" i="5"/>
  <c r="G26" i="4"/>
  <c r="F26" i="4"/>
  <c r="H27" i="4"/>
  <c r="E27" i="4"/>
  <c r="F27" i="2"/>
  <c r="E28" i="2" s="1"/>
  <c r="G25" i="5" l="1"/>
  <c r="F25" i="5"/>
  <c r="H26" i="5" s="1"/>
  <c r="F27" i="4"/>
  <c r="H28" i="4"/>
  <c r="G27" i="4"/>
  <c r="E28" i="4"/>
  <c r="F28" i="2"/>
  <c r="E29" i="2"/>
  <c r="F29" i="2" s="1"/>
  <c r="E26" i="5" l="1"/>
  <c r="G28" i="4"/>
  <c r="F28" i="4"/>
  <c r="H29" i="4" s="1"/>
  <c r="E29" i="4"/>
  <c r="G26" i="5" l="1"/>
  <c r="F26" i="5"/>
  <c r="H27" i="5"/>
  <c r="E27" i="5"/>
  <c r="F29" i="4"/>
  <c r="G29" i="4"/>
  <c r="H28" i="5" l="1"/>
  <c r="G27" i="5"/>
  <c r="F27" i="5"/>
  <c r="E28" i="5"/>
  <c r="G28" i="5" l="1"/>
  <c r="F28" i="5"/>
  <c r="H29" i="5" s="1"/>
  <c r="E29" i="5" l="1"/>
  <c r="G29" i="5" l="1"/>
  <c r="F29" i="5"/>
</calcChain>
</file>

<file path=xl/sharedStrings.xml><?xml version="1.0" encoding="utf-8"?>
<sst xmlns="http://schemas.openxmlformats.org/spreadsheetml/2006/main" count="79" uniqueCount="49">
  <si>
    <t>Year</t>
  </si>
  <si>
    <t>Quarter</t>
  </si>
  <si>
    <t>Period</t>
  </si>
  <si>
    <t>Demand</t>
  </si>
  <si>
    <t>Alpha</t>
  </si>
  <si>
    <t>Beta</t>
  </si>
  <si>
    <t>Gamma</t>
  </si>
  <si>
    <t>s</t>
  </si>
  <si>
    <t>t</t>
  </si>
  <si>
    <t>sales</t>
  </si>
  <si>
    <t>L_t</t>
  </si>
  <si>
    <t>b_t</t>
  </si>
  <si>
    <t>F_{t+m}</t>
  </si>
  <si>
    <t>M</t>
  </si>
  <si>
    <t>T</t>
  </si>
  <si>
    <t>W</t>
  </si>
  <si>
    <t>TH</t>
  </si>
  <si>
    <t>F</t>
  </si>
  <si>
    <t>Total</t>
  </si>
  <si>
    <t>Average</t>
  </si>
  <si>
    <t xml:space="preserve">Week </t>
  </si>
  <si>
    <t>Daily Total</t>
  </si>
  <si>
    <t>Daily Average</t>
  </si>
  <si>
    <t>b_T</t>
  </si>
  <si>
    <t>S_t</t>
  </si>
  <si>
    <t>X</t>
  </si>
  <si>
    <t>Y</t>
  </si>
  <si>
    <t>XY</t>
  </si>
  <si>
    <t>X^2</t>
  </si>
  <si>
    <t>b</t>
  </si>
  <si>
    <t>a</t>
  </si>
  <si>
    <t>corr</t>
  </si>
  <si>
    <t>R^2</t>
  </si>
  <si>
    <t>Standard Errors</t>
  </si>
  <si>
    <t>SE_b</t>
  </si>
  <si>
    <t>Y_hat</t>
  </si>
  <si>
    <t>Y-Y_hat</t>
  </si>
  <si>
    <t>X-Xavg</t>
  </si>
  <si>
    <t>t_c</t>
  </si>
  <si>
    <t>SE_f</t>
  </si>
  <si>
    <t>Demand X_t</t>
  </si>
  <si>
    <t>\dot{X_t}</t>
  </si>
  <si>
    <t>\dot{X_{t-1}}</t>
  </si>
  <si>
    <t>\dot{X_tX_{t-1}}</t>
  </si>
  <si>
    <t>\dot{X_t}^2</t>
  </si>
  <si>
    <t>\phi</t>
  </si>
  <si>
    <t>\hat{X_t}</t>
  </si>
  <si>
    <t>error</t>
  </si>
  <si>
    <t>error^2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</si>
</sst>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" fontId="0" fillId="0" borderId="5" xfId="0" applyNumberFormat="1" applyBorder="1"/>
    <xf numFmtId="0" fontId="0" fillId="0" borderId="6" xfId="0" applyBorder="1"/>
    <xf numFmtId="0" fontId="0" fillId="0" borderId="7" xfId="0" applyBorder="1"/>
    <xf numFmtId="1" fontId="0" fillId="0" borderId="8" xfId="0" applyNumberFormat="1" applyBorder="1"/>
    <xf numFmtId="2" fontId="0" fillId="0" borderId="0" xfId="0" applyNumberFormat="1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2" fontId="0" fillId="3" borderId="9" xfId="0" applyNumberFormat="1" applyFill="1" applyBorder="1"/>
    <xf numFmtId="164" fontId="0" fillId="0" borderId="0" xfId="0" applyNumberFormat="1"/>
    <xf numFmtId="0" fontId="1" fillId="0" borderId="1" xfId="0" applyFont="1" applyBorder="1"/>
    <xf numFmtId="164" fontId="0" fillId="0" borderId="3" xfId="0" applyNumberFormat="1" applyBorder="1"/>
    <xf numFmtId="0" fontId="1" fillId="0" borderId="6" xfId="0" applyFont="1" applyBorder="1"/>
    <xf numFmtId="0" fontId="0" fillId="0" borderId="8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2</xdr:row>
      <xdr:rowOff>0</xdr:rowOff>
    </xdr:from>
    <xdr:to>
      <xdr:col>12</xdr:col>
      <xdr:colOff>76200</xdr:colOff>
      <xdr:row>9</xdr:row>
      <xdr:rowOff>83820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B64445-E2E2-4BBD-99FD-274000B0444A}"/>
                </a:ext>
              </a:extLst>
            </xdr:cNvPr>
            <xdr:cNvSpPr txBox="1"/>
          </xdr:nvSpPr>
          <xdr:spPr>
            <a:xfrm>
              <a:off x="4869180" y="365760"/>
              <a:ext cx="2522220" cy="13639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𝜶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𝜷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200" b="1"/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𝒀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IN" sz="1200" b="1"/>
            </a:p>
            <a:p>
              <a:pPr algn="ctr"/>
              <a:endParaRPr lang="en-IN" sz="1200" b="1"/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𝜶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𝒀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+(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𝜶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200" b="1"/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𝜷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𝑳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𝑳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𝒕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𝜷</m:t>
                        </m:r>
                      </m:e>
                    </m:d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/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𝑭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𝒎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IN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B64445-E2E2-4BBD-99FD-274000B0444A}"/>
                </a:ext>
              </a:extLst>
            </xdr:cNvPr>
            <xdr:cNvSpPr txBox="1"/>
          </xdr:nvSpPr>
          <xdr:spPr>
            <a:xfrm>
              <a:off x="4869180" y="365760"/>
              <a:ext cx="2522220" cy="13639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 i="0">
                  <a:latin typeface="Cambria Math" panose="02040503050406030204" pitchFamily="18" charset="0"/>
                </a:rPr>
                <a:t>𝜶=𝟎.𝟑, 𝜷=𝟎.𝟏</a:t>
              </a:r>
              <a:endParaRPr lang="en-US" sz="1200" b="1"/>
            </a:p>
            <a:p>
              <a:pPr algn="ctr"/>
              <a:r>
                <a:rPr lang="en-US" sz="1200" b="1" i="0">
                  <a:latin typeface="Cambria Math" panose="02040503050406030204" pitchFamily="18" charset="0"/>
                </a:rPr>
                <a:t>𝒃_𝟏=𝟎, 𝑳_𝟏=𝒀_𝟏</a:t>
              </a:r>
              <a:endParaRPr lang="en-IN" sz="1200" b="1"/>
            </a:p>
            <a:p>
              <a:pPr algn="ctr"/>
              <a:endParaRPr lang="en-IN" sz="1200" b="1"/>
            </a:p>
            <a:p>
              <a:pPr algn="ctr"/>
              <a:r>
                <a:rPr lang="en-US" sz="1200" b="1" i="0">
                  <a:latin typeface="Cambria Math" panose="02040503050406030204" pitchFamily="18" charset="0"/>
                </a:rPr>
                <a:t>𝑳_𝒕=𝜶𝒀_𝒕+(𝟏−𝜶)(𝑳_(𝒕−𝟏)+𝒃_(𝒕−𝟏))</a:t>
              </a:r>
              <a:endParaRPr lang="en-IN" sz="1200" b="1"/>
            </a:p>
            <a:p>
              <a:pPr algn="ctr"/>
              <a:r>
                <a:rPr lang="en-US" sz="1200" b="1" i="0">
                  <a:latin typeface="Cambria Math" panose="02040503050406030204" pitchFamily="18" charset="0"/>
                </a:rPr>
                <a:t>𝒃_𝒕=𝜷(𝑳_𝒕−𝑳_(𝒕−𝟏) )+(𝟏−𝜷) 𝒃_(𝒕−𝟏)</a:t>
              </a:r>
              <a:endParaRPr lang="en-US" sz="1200" b="1"/>
            </a:p>
            <a:p>
              <a:pPr algn="ctr"/>
              <a:r>
                <a:rPr lang="en-US" sz="1200" b="1" i="0">
                  <a:latin typeface="Cambria Math" panose="02040503050406030204" pitchFamily="18" charset="0"/>
                </a:rPr>
                <a:t>𝑭_(𝒕+𝒎)=𝑳_𝒕+𝒎𝒃_𝒕</a:t>
              </a:r>
              <a:endParaRPr lang="en-IN" sz="1200" b="1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</xdr:colOff>
      <xdr:row>4</xdr:row>
      <xdr:rowOff>0</xdr:rowOff>
    </xdr:from>
    <xdr:to>
      <xdr:col>13</xdr:col>
      <xdr:colOff>442208</xdr:colOff>
      <xdr:row>7</xdr:row>
      <xdr:rowOff>99116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E4106-00D2-48B8-95AD-B4E6E2E94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9260" y="731520"/>
          <a:ext cx="2857748" cy="647756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</xdr:colOff>
      <xdr:row>7</xdr:row>
      <xdr:rowOff>114300</xdr:rowOff>
    </xdr:from>
    <xdr:to>
      <xdr:col>13</xdr:col>
      <xdr:colOff>533656</xdr:colOff>
      <xdr:row>9</xdr:row>
      <xdr:rowOff>175297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23FB4A-6C21-4344-A832-C80E4670A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9260" y="1394460"/>
          <a:ext cx="2949196" cy="426757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</xdr:colOff>
      <xdr:row>9</xdr:row>
      <xdr:rowOff>175260</xdr:rowOff>
    </xdr:from>
    <xdr:to>
      <xdr:col>12</xdr:col>
      <xdr:colOff>411673</xdr:colOff>
      <xdr:row>12</xdr:row>
      <xdr:rowOff>167687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A4F301-4E9F-43B5-B797-2567B3B3B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1640" y="1821180"/>
          <a:ext cx="2225233" cy="541067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</xdr:colOff>
      <xdr:row>12</xdr:row>
      <xdr:rowOff>68580</xdr:rowOff>
    </xdr:from>
    <xdr:to>
      <xdr:col>13</xdr:col>
      <xdr:colOff>564139</xdr:colOff>
      <xdr:row>15</xdr:row>
      <xdr:rowOff>38145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A0E64B-B40E-4689-AAEA-FBD0BDEF3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1640" y="2263140"/>
          <a:ext cx="2987299" cy="518205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15</xdr:row>
      <xdr:rowOff>53340</xdr:rowOff>
    </xdr:from>
    <xdr:to>
      <xdr:col>13</xdr:col>
      <xdr:colOff>114519</xdr:colOff>
      <xdr:row>18</xdr:row>
      <xdr:rowOff>38146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505D4A-81F3-4FD3-B25B-71ED247A1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16880" y="2796540"/>
          <a:ext cx="2522439" cy="533446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</xdr:colOff>
      <xdr:row>18</xdr:row>
      <xdr:rowOff>0</xdr:rowOff>
    </xdr:from>
    <xdr:to>
      <xdr:col>15</xdr:col>
      <xdr:colOff>312762</xdr:colOff>
      <xdr:row>21</xdr:row>
      <xdr:rowOff>99116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8BD779-E4A8-4970-9E54-24498C5DB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09260" y="3291840"/>
          <a:ext cx="3947502" cy="647756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21</xdr:row>
      <xdr:rowOff>160020</xdr:rowOff>
    </xdr:from>
    <xdr:to>
      <xdr:col>13</xdr:col>
      <xdr:colOff>312656</xdr:colOff>
      <xdr:row>25</xdr:row>
      <xdr:rowOff>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139867-73C3-4543-928D-C1CEF2484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16880" y="4000500"/>
          <a:ext cx="2720576" cy="571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</xdr:colOff>
      <xdr:row>4</xdr:row>
      <xdr:rowOff>7620</xdr:rowOff>
    </xdr:from>
    <xdr:to>
      <xdr:col>16</xdr:col>
      <xdr:colOff>465229</xdr:colOff>
      <xdr:row>15</xdr:row>
      <xdr:rowOff>7794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2B2390-E4BA-428E-AEA8-C6271D54C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020" y="739140"/>
          <a:ext cx="4724809" cy="201185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15</xdr:row>
      <xdr:rowOff>167640</xdr:rowOff>
    </xdr:from>
    <xdr:to>
      <xdr:col>16</xdr:col>
      <xdr:colOff>518572</xdr:colOff>
      <xdr:row>19</xdr:row>
      <xdr:rowOff>30532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390AD2A-C6DD-45D9-8338-2F809D5DB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2910840"/>
          <a:ext cx="4755292" cy="594412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18</xdr:row>
      <xdr:rowOff>144780</xdr:rowOff>
    </xdr:from>
    <xdr:to>
      <xdr:col>13</xdr:col>
      <xdr:colOff>129759</xdr:colOff>
      <xdr:row>21</xdr:row>
      <xdr:rowOff>129586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A2CDBE-0A37-4BEB-A2E2-007475370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2120" y="3436620"/>
          <a:ext cx="2522439" cy="533446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21</xdr:row>
      <xdr:rowOff>91440</xdr:rowOff>
    </xdr:from>
    <xdr:to>
      <xdr:col>15</xdr:col>
      <xdr:colOff>328002</xdr:colOff>
      <xdr:row>25</xdr:row>
      <xdr:rowOff>7676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E2F65BC-D1B3-4008-A169-5F15B64E5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931920"/>
          <a:ext cx="3947502" cy="6477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</xdr:colOff>
      <xdr:row>0</xdr:row>
      <xdr:rowOff>167640</xdr:rowOff>
    </xdr:from>
    <xdr:to>
      <xdr:col>15</xdr:col>
      <xdr:colOff>320040</xdr:colOff>
      <xdr:row>8</xdr:row>
      <xdr:rowOff>49927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FC8DF-DDFE-4F20-BCDD-B3D05070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167640"/>
          <a:ext cx="3322320" cy="1345327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</xdr:colOff>
      <xdr:row>16</xdr:row>
      <xdr:rowOff>83820</xdr:rowOff>
    </xdr:from>
    <xdr:to>
      <xdr:col>17</xdr:col>
      <xdr:colOff>563880</xdr:colOff>
      <xdr:row>19</xdr:row>
      <xdr:rowOff>152218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A578BE-6D01-4D44-A0D5-E9C0D116C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3380" y="3025140"/>
          <a:ext cx="2933700" cy="617038"/>
        </a:xfrm>
        <a:prstGeom prst="rect">
          <a:avLst/>
        </a:prstGeom>
      </xdr:spPr>
    </xdr:pic>
    <xdr:clientData/>
  </xdr:twoCellAnchor>
  <xdr:twoCellAnchor editAs="oneCell">
    <xdr:from>
      <xdr:col>13</xdr:col>
      <xdr:colOff>68154</xdr:colOff>
      <xdr:row>20</xdr:row>
      <xdr:rowOff>45720</xdr:rowOff>
    </xdr:from>
    <xdr:to>
      <xdr:col>17</xdr:col>
      <xdr:colOff>587359</xdr:colOff>
      <xdr:row>27</xdr:row>
      <xdr:rowOff>7880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B9B5F5-DFAD-47B8-9249-01256D8D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92954" y="3718560"/>
          <a:ext cx="2957605" cy="1242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552032</xdr:colOff>
      <xdr:row>8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97013-ED3B-4EC9-A83F-D9C51EAE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0432" cy="1623060"/>
        </a:xfrm>
        <a:prstGeom prst="rect">
          <a:avLst/>
        </a:prstGeom>
      </xdr:spPr>
    </xdr:pic>
    <xdr:clientData/>
  </xdr:twoCellAnchor>
  <xdr:twoCellAnchor>
    <xdr:from>
      <xdr:col>5</xdr:col>
      <xdr:colOff>7620</xdr:colOff>
      <xdr:row>0</xdr:row>
      <xdr:rowOff>175260</xdr:rowOff>
    </xdr:from>
    <xdr:to>
      <xdr:col>7</xdr:col>
      <xdr:colOff>304800</xdr:colOff>
      <xdr:row>6</xdr:row>
      <xdr:rowOff>15240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A4F64A-1D84-4032-8491-4B3E00122E22}"/>
                </a:ext>
              </a:extLst>
            </xdr:cNvPr>
            <xdr:cNvSpPr txBox="1"/>
          </xdr:nvSpPr>
          <xdr:spPr>
            <a:xfrm>
              <a:off x="3055620" y="175260"/>
              <a:ext cx="1516380" cy="93726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IN" sz="16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sz="1600" b="1" i="1">
                            <a:latin typeface="Cambria Math" panose="02040503050406030204" pitchFamily="18" charset="0"/>
                          </a:rPr>
                          <m:t>𝑸</m:t>
                        </m:r>
                      </m:e>
                      <m:sup>
                        <m:r>
                          <a:rPr lang="en-IN" sz="1600" b="1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en-IN" sz="1600" b="1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IN" sz="1600" b="1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IN" sz="16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6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  <m:r>
                              <a:rPr lang="en-IN" sz="1600" b="1" i="1">
                                <a:latin typeface="Cambria Math" panose="02040503050406030204" pitchFamily="18" charset="0"/>
                              </a:rPr>
                              <m:t>𝑫</m:t>
                            </m:r>
                            <m:sSub>
                              <m:sSubPr>
                                <m:ctrlPr>
                                  <a:rPr lang="en-IN" sz="16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600" b="1" i="1">
                                    <a:latin typeface="Cambria Math" panose="02040503050406030204" pitchFamily="18" charset="0"/>
                                  </a:rPr>
                                  <m:t>𝑪</m:t>
                                </m:r>
                              </m:e>
                              <m:sub>
                                <m:r>
                                  <a:rPr lang="en-IN" sz="1600" b="1" i="1">
                                    <a:latin typeface="Cambria Math" panose="02040503050406030204" pitchFamily="18" charset="0"/>
                                  </a:rPr>
                                  <m:t>𝟎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IN" sz="16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600" b="1" i="1">
                                    <a:latin typeface="Cambria Math" panose="02040503050406030204" pitchFamily="18" charset="0"/>
                                  </a:rPr>
                                  <m:t>𝑪</m:t>
                                </m:r>
                              </m:e>
                              <m:sub>
                                <m:r>
                                  <a:rPr lang="en-IN" sz="1600" b="1" i="1">
                                    <a:latin typeface="Cambria Math" panose="02040503050406030204" pitchFamily="18" charset="0"/>
                                  </a:rPr>
                                  <m:t>𝒄</m:t>
                                </m:r>
                              </m:sub>
                            </m:sSub>
                          </m:den>
                        </m:f>
                        <m:r>
                          <a:rPr lang="en-IN" sz="1600" b="1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rad>
                    <m:r>
                      <a:rPr lang="en-IN" sz="1600" b="1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N" sz="16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A4F64A-1D84-4032-8491-4B3E00122E22}"/>
                </a:ext>
              </a:extLst>
            </xdr:cNvPr>
            <xdr:cNvSpPr txBox="1"/>
          </xdr:nvSpPr>
          <xdr:spPr>
            <a:xfrm>
              <a:off x="3055620" y="175260"/>
              <a:ext cx="1516380" cy="93726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en-IN" sz="1600" b="1" i="0">
                  <a:latin typeface="Cambria Math" panose="02040503050406030204" pitchFamily="18" charset="0"/>
                </a:rPr>
                <a:t>𝑸^∗=√((𝟐𝑫𝑪_𝟎)/𝑪_𝒄   )  </a:t>
              </a:r>
              <a:endParaRPr lang="en-IN" sz="1600" b="1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9CBB-A6A9-49FE-A4EF-6A6A9FA7E025}">
  <dimension ref="A1:L29"/>
  <sheetViews>
    <sheetView tabSelected="1" workbookViewId="0">
      <selection activeCell="E3" sqref="E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</row>
    <row r="2" spans="1:12" x14ac:dyDescent="0.3">
      <c r="A2">
        <v>1</v>
      </c>
      <c r="B2">
        <v>1</v>
      </c>
      <c r="C2">
        <v>1</v>
      </c>
      <c r="D2">
        <v>30000</v>
      </c>
      <c r="E2">
        <v>30000</v>
      </c>
    </row>
    <row r="3" spans="1:12" x14ac:dyDescent="0.3">
      <c r="A3">
        <v>1</v>
      </c>
      <c r="B3">
        <v>2</v>
      </c>
      <c r="C3">
        <v>1</v>
      </c>
      <c r="D3">
        <v>8000</v>
      </c>
      <c r="E3">
        <f>$I$7*D2+(1-$I$7)*E2</f>
        <v>30000</v>
      </c>
    </row>
    <row r="4" spans="1:12" x14ac:dyDescent="0.3">
      <c r="A4">
        <v>1</v>
      </c>
      <c r="B4">
        <v>3</v>
      </c>
      <c r="C4">
        <v>2</v>
      </c>
      <c r="D4">
        <v>13000</v>
      </c>
      <c r="E4">
        <f t="shared" ref="E4:E14" si="0">$I$7+(1-$I$7)*E3</f>
        <v>27000.1</v>
      </c>
    </row>
    <row r="5" spans="1:12" x14ac:dyDescent="0.3">
      <c r="A5">
        <v>1</v>
      </c>
      <c r="B5">
        <v>4</v>
      </c>
      <c r="C5">
        <v>3</v>
      </c>
      <c r="D5">
        <v>23000</v>
      </c>
      <c r="E5">
        <f t="shared" si="0"/>
        <v>24300.19</v>
      </c>
    </row>
    <row r="6" spans="1:12" x14ac:dyDescent="0.3">
      <c r="A6">
        <v>2</v>
      </c>
      <c r="B6">
        <v>1</v>
      </c>
      <c r="C6">
        <v>4</v>
      </c>
      <c r="D6">
        <v>34000</v>
      </c>
      <c r="E6">
        <f t="shared" si="0"/>
        <v>21870.270999999997</v>
      </c>
      <c r="I6" t="s">
        <v>4</v>
      </c>
      <c r="J6" t="s">
        <v>5</v>
      </c>
      <c r="K6" t="s">
        <v>6</v>
      </c>
      <c r="L6" t="s">
        <v>7</v>
      </c>
    </row>
    <row r="7" spans="1:12" x14ac:dyDescent="0.3">
      <c r="A7">
        <v>2</v>
      </c>
      <c r="B7">
        <v>2</v>
      </c>
      <c r="C7">
        <v>5</v>
      </c>
      <c r="D7">
        <v>10000</v>
      </c>
      <c r="E7">
        <f t="shared" si="0"/>
        <v>19683.343899999996</v>
      </c>
      <c r="I7">
        <v>0.1</v>
      </c>
      <c r="J7">
        <v>0.2</v>
      </c>
      <c r="K7">
        <v>0.1</v>
      </c>
      <c r="L7">
        <v>4</v>
      </c>
    </row>
    <row r="8" spans="1:12" x14ac:dyDescent="0.3">
      <c r="A8">
        <v>2</v>
      </c>
      <c r="B8">
        <v>3</v>
      </c>
      <c r="C8">
        <v>6</v>
      </c>
      <c r="D8">
        <v>18000</v>
      </c>
      <c r="E8">
        <f t="shared" si="0"/>
        <v>17715.109509999995</v>
      </c>
    </row>
    <row r="9" spans="1:12" x14ac:dyDescent="0.3">
      <c r="A9">
        <v>2</v>
      </c>
      <c r="B9">
        <v>4</v>
      </c>
      <c r="C9">
        <v>7</v>
      </c>
      <c r="D9">
        <v>23000</v>
      </c>
      <c r="E9">
        <f t="shared" si="0"/>
        <v>15943.698558999997</v>
      </c>
    </row>
    <row r="10" spans="1:12" x14ac:dyDescent="0.3">
      <c r="A10">
        <v>3</v>
      </c>
      <c r="B10">
        <v>1</v>
      </c>
      <c r="C10">
        <v>8</v>
      </c>
      <c r="D10">
        <v>38000</v>
      </c>
      <c r="E10">
        <f t="shared" si="0"/>
        <v>14349.428703099999</v>
      </c>
    </row>
    <row r="11" spans="1:12" x14ac:dyDescent="0.3">
      <c r="A11">
        <v>3</v>
      </c>
      <c r="B11">
        <v>2</v>
      </c>
      <c r="C11">
        <v>9</v>
      </c>
      <c r="D11">
        <v>12000</v>
      </c>
      <c r="E11">
        <f t="shared" si="0"/>
        <v>12914.585832789999</v>
      </c>
    </row>
    <row r="12" spans="1:12" x14ac:dyDescent="0.3">
      <c r="A12">
        <v>3</v>
      </c>
      <c r="B12">
        <v>3</v>
      </c>
      <c r="C12">
        <v>10</v>
      </c>
      <c r="D12">
        <v>13000</v>
      </c>
      <c r="E12">
        <f t="shared" si="0"/>
        <v>11623.227249510999</v>
      </c>
    </row>
    <row r="13" spans="1:12" x14ac:dyDescent="0.3">
      <c r="A13">
        <v>3</v>
      </c>
      <c r="B13">
        <v>4</v>
      </c>
      <c r="C13">
        <v>11</v>
      </c>
      <c r="D13">
        <v>32000</v>
      </c>
      <c r="E13">
        <f t="shared" si="0"/>
        <v>10461.004524559899</v>
      </c>
    </row>
    <row r="14" spans="1:12" x14ac:dyDescent="0.3">
      <c r="A14">
        <v>4</v>
      </c>
      <c r="B14">
        <v>1</v>
      </c>
      <c r="C14">
        <v>12</v>
      </c>
      <c r="D14">
        <v>41000</v>
      </c>
      <c r="E14">
        <f t="shared" si="0"/>
        <v>9415.0040721039095</v>
      </c>
    </row>
    <row r="15" spans="1:12" ht="15" thickBot="1" x14ac:dyDescent="0.35"/>
    <row r="16" spans="1:12" x14ac:dyDescent="0.3">
      <c r="A16" s="2"/>
      <c r="B16" s="3"/>
      <c r="C16" s="4">
        <v>0.1</v>
      </c>
      <c r="D16">
        <v>0.2</v>
      </c>
      <c r="E16">
        <v>0.3</v>
      </c>
      <c r="F16">
        <v>0.4</v>
      </c>
    </row>
    <row r="17" spans="1:12" x14ac:dyDescent="0.3">
      <c r="A17" s="5">
        <v>24</v>
      </c>
      <c r="B17" s="6">
        <v>78</v>
      </c>
      <c r="C17" s="7">
        <v>78</v>
      </c>
      <c r="D17" s="1">
        <v>78</v>
      </c>
      <c r="E17" s="1">
        <v>78</v>
      </c>
      <c r="F17" s="1">
        <v>78</v>
      </c>
    </row>
    <row r="18" spans="1:12" x14ac:dyDescent="0.3">
      <c r="A18" s="5">
        <v>25</v>
      </c>
      <c r="B18" s="6">
        <v>65</v>
      </c>
      <c r="C18" s="7">
        <f>$C$16*$B17+(1-$C$16)*$C17</f>
        <v>78</v>
      </c>
      <c r="D18" s="1">
        <f>$D$16*$B17+(1-$D$16)*$D17</f>
        <v>78</v>
      </c>
      <c r="E18" s="1">
        <f>$E$16*$B17+(1-$E$16)*$E17</f>
        <v>78</v>
      </c>
      <c r="F18" s="1">
        <f>$F$16*$B17+(1-$F$16)*$F17</f>
        <v>78</v>
      </c>
      <c r="G18" s="1">
        <f>B18-C18</f>
        <v>-13</v>
      </c>
      <c r="H18">
        <f>ABS(G18)</f>
        <v>13</v>
      </c>
      <c r="I18">
        <f>G18/B18</f>
        <v>-0.2</v>
      </c>
      <c r="J18">
        <f>H18/B18</f>
        <v>0.2</v>
      </c>
      <c r="K18" s="11">
        <f>AVERAGE(H18)</f>
        <v>13</v>
      </c>
      <c r="L18" s="11">
        <f>G18/K18</f>
        <v>-1</v>
      </c>
    </row>
    <row r="19" spans="1:12" x14ac:dyDescent="0.3">
      <c r="A19" s="5">
        <v>26</v>
      </c>
      <c r="B19" s="6">
        <v>90</v>
      </c>
      <c r="C19" s="7">
        <f t="shared" ref="C19:C28" si="1">$C$16*$B18+(1-$C$16)*$C18</f>
        <v>76.7</v>
      </c>
      <c r="D19" s="1">
        <f t="shared" ref="D19:D28" si="2">$D$16*$B18+(1-$D$16)*$D18</f>
        <v>75.400000000000006</v>
      </c>
      <c r="E19" s="1">
        <f t="shared" ref="E19:E28" si="3">$E$16*$B18+(1-$E$16)*$E18</f>
        <v>74.099999999999994</v>
      </c>
      <c r="F19" s="1">
        <f t="shared" ref="F19:F28" si="4">$F$16*$B18+(1-$F$16)*$F18</f>
        <v>72.8</v>
      </c>
      <c r="G19" s="1">
        <f t="shared" ref="G19:G28" si="5">B19-C19</f>
        <v>13.299999999999997</v>
      </c>
      <c r="H19" s="1">
        <f>ABS(G19)</f>
        <v>13.299999999999997</v>
      </c>
      <c r="I19" s="11">
        <f t="shared" ref="I19:I28" si="6">G19/B19</f>
        <v>0.14777777777777776</v>
      </c>
      <c r="J19" s="11">
        <f t="shared" ref="J19:J28" si="7">H19/B19</f>
        <v>0.14777777777777776</v>
      </c>
      <c r="K19" s="11">
        <f>AVERAGE(H18:H19)</f>
        <v>13.149999999999999</v>
      </c>
      <c r="L19" s="11">
        <f>SUM(G18:G19)/K19</f>
        <v>2.2813688212927542E-2</v>
      </c>
    </row>
    <row r="20" spans="1:12" x14ac:dyDescent="0.3">
      <c r="A20" s="5">
        <v>27</v>
      </c>
      <c r="B20" s="6">
        <v>71</v>
      </c>
      <c r="C20" s="7">
        <f t="shared" si="1"/>
        <v>78.03</v>
      </c>
      <c r="D20" s="1">
        <f t="shared" si="2"/>
        <v>78.320000000000007</v>
      </c>
      <c r="E20" s="1">
        <f t="shared" si="3"/>
        <v>78.86999999999999</v>
      </c>
      <c r="F20" s="1">
        <f t="shared" si="4"/>
        <v>79.680000000000007</v>
      </c>
      <c r="G20" s="1">
        <f t="shared" si="5"/>
        <v>-7.0300000000000011</v>
      </c>
      <c r="H20" s="1">
        <f t="shared" ref="H20:H28" si="8">ABS(G20)</f>
        <v>7.0300000000000011</v>
      </c>
      <c r="I20" s="11">
        <f t="shared" si="6"/>
        <v>-9.9014084507042271E-2</v>
      </c>
      <c r="J20" s="11">
        <f t="shared" si="7"/>
        <v>9.9014084507042271E-2</v>
      </c>
      <c r="K20" s="11">
        <f>AVERAGE(H18:H20)</f>
        <v>11.11</v>
      </c>
      <c r="L20" s="11">
        <f>(G20+G19+G18)/K20</f>
        <v>-0.60576057605760614</v>
      </c>
    </row>
    <row r="21" spans="1:12" x14ac:dyDescent="0.3">
      <c r="A21" s="5">
        <v>28</v>
      </c>
      <c r="B21" s="6">
        <v>80</v>
      </c>
      <c r="C21" s="7">
        <f t="shared" si="1"/>
        <v>77.326999999999998</v>
      </c>
      <c r="D21" s="1">
        <f t="shared" si="2"/>
        <v>76.856000000000009</v>
      </c>
      <c r="E21" s="1">
        <f t="shared" si="3"/>
        <v>76.508999999999986</v>
      </c>
      <c r="F21" s="1">
        <f t="shared" si="4"/>
        <v>76.207999999999998</v>
      </c>
      <c r="G21" s="1">
        <f t="shared" si="5"/>
        <v>2.6730000000000018</v>
      </c>
      <c r="H21" s="1">
        <f t="shared" si="8"/>
        <v>2.6730000000000018</v>
      </c>
      <c r="I21" s="11">
        <f t="shared" si="6"/>
        <v>3.3412500000000026E-2</v>
      </c>
      <c r="J21" s="11">
        <f t="shared" si="7"/>
        <v>3.3412500000000026E-2</v>
      </c>
      <c r="K21" s="11">
        <f>AVERAGE(H18:H21)</f>
        <v>9.00075</v>
      </c>
      <c r="L21" s="11">
        <f>SUM(G18:G21)/K21</f>
        <v>-0.45074021609310361</v>
      </c>
    </row>
    <row r="22" spans="1:12" x14ac:dyDescent="0.3">
      <c r="A22" s="5">
        <v>29</v>
      </c>
      <c r="B22" s="6">
        <v>101</v>
      </c>
      <c r="C22" s="7">
        <f t="shared" si="1"/>
        <v>77.594300000000004</v>
      </c>
      <c r="D22" s="1">
        <f t="shared" si="2"/>
        <v>77.484800000000007</v>
      </c>
      <c r="E22" s="1">
        <f t="shared" si="3"/>
        <v>77.556299999999993</v>
      </c>
      <c r="F22" s="1">
        <f t="shared" si="4"/>
        <v>77.724799999999988</v>
      </c>
      <c r="G22" s="1">
        <f t="shared" si="5"/>
        <v>23.405699999999996</v>
      </c>
      <c r="H22" s="1">
        <f t="shared" si="8"/>
        <v>23.405699999999996</v>
      </c>
      <c r="I22" s="11">
        <f t="shared" si="6"/>
        <v>0.231739603960396</v>
      </c>
      <c r="J22" s="11">
        <f t="shared" si="7"/>
        <v>0.231739603960396</v>
      </c>
      <c r="K22" s="11">
        <f>AVERAGE(H18:H22)</f>
        <v>11.881739999999999</v>
      </c>
      <c r="L22" s="11">
        <f>SUM(G18:G22)/K22</f>
        <v>1.6284399422980131</v>
      </c>
    </row>
    <row r="23" spans="1:12" x14ac:dyDescent="0.3">
      <c r="A23" s="5">
        <v>30</v>
      </c>
      <c r="B23" s="6">
        <v>84</v>
      </c>
      <c r="C23" s="7">
        <f t="shared" si="1"/>
        <v>79.934870000000018</v>
      </c>
      <c r="D23" s="1">
        <f t="shared" si="2"/>
        <v>82.187840000000008</v>
      </c>
      <c r="E23" s="1">
        <f t="shared" si="3"/>
        <v>84.589409999999987</v>
      </c>
      <c r="F23" s="1">
        <f t="shared" si="4"/>
        <v>87.034879999999987</v>
      </c>
      <c r="G23" s="1">
        <f t="shared" si="5"/>
        <v>4.0651299999999821</v>
      </c>
      <c r="H23" s="1">
        <f t="shared" si="8"/>
        <v>4.0651299999999821</v>
      </c>
      <c r="I23" s="11">
        <f t="shared" si="6"/>
        <v>4.8394404761904548E-2</v>
      </c>
      <c r="J23" s="11">
        <f t="shared" si="7"/>
        <v>4.8394404761904548E-2</v>
      </c>
      <c r="K23" s="11">
        <f>AVERAGE(H18:H23)</f>
        <v>10.578971666666662</v>
      </c>
      <c r="L23" s="11">
        <f>SUM(G18:G23)/K23</f>
        <v>2.2132425284562145</v>
      </c>
    </row>
    <row r="24" spans="1:12" x14ac:dyDescent="0.3">
      <c r="A24" s="5">
        <v>31</v>
      </c>
      <c r="B24" s="6">
        <v>60</v>
      </c>
      <c r="C24" s="7">
        <f t="shared" si="1"/>
        <v>80.341383000000022</v>
      </c>
      <c r="D24" s="1">
        <f t="shared" si="2"/>
        <v>82.550272000000007</v>
      </c>
      <c r="E24" s="1">
        <f t="shared" si="3"/>
        <v>84.412586999999988</v>
      </c>
      <c r="F24" s="1">
        <f t="shared" si="4"/>
        <v>85.820927999999995</v>
      </c>
      <c r="G24" s="1">
        <f t="shared" si="5"/>
        <v>-20.341383000000022</v>
      </c>
      <c r="H24" s="1">
        <f t="shared" si="8"/>
        <v>20.341383000000022</v>
      </c>
      <c r="I24" s="11">
        <f t="shared" si="6"/>
        <v>-0.33902305000000038</v>
      </c>
      <c r="J24" s="11">
        <f t="shared" si="7"/>
        <v>0.33902305000000038</v>
      </c>
      <c r="K24" s="11">
        <f>AVERAGE(H18:H24)</f>
        <v>11.973601857142857</v>
      </c>
      <c r="L24" s="11">
        <f>SUM(G18:G24)/K24</f>
        <v>0.25660173410284931</v>
      </c>
    </row>
    <row r="25" spans="1:12" x14ac:dyDescent="0.3">
      <c r="A25" s="5">
        <v>32</v>
      </c>
      <c r="B25" s="6">
        <v>73</v>
      </c>
      <c r="C25" s="7">
        <f t="shared" si="1"/>
        <v>78.307244700000027</v>
      </c>
      <c r="D25" s="1">
        <f t="shared" si="2"/>
        <v>78.040217600000005</v>
      </c>
      <c r="E25" s="1">
        <f t="shared" si="3"/>
        <v>77.088810899999984</v>
      </c>
      <c r="F25" s="1">
        <f t="shared" si="4"/>
        <v>75.492556799999988</v>
      </c>
      <c r="G25" s="1">
        <f t="shared" si="5"/>
        <v>-5.3072447000000267</v>
      </c>
      <c r="H25" s="1">
        <f t="shared" si="8"/>
        <v>5.3072447000000267</v>
      </c>
      <c r="I25" s="11">
        <f t="shared" si="6"/>
        <v>-7.2701982191781186E-2</v>
      </c>
      <c r="J25" s="11">
        <f t="shared" si="7"/>
        <v>7.2701982191781186E-2</v>
      </c>
      <c r="K25" s="11">
        <f>AVERAGE(H18:H25)</f>
        <v>11.140307212500003</v>
      </c>
      <c r="L25" s="11">
        <f>SUM(G18:G25)/K25</f>
        <v>-0.200604674303103</v>
      </c>
    </row>
    <row r="26" spans="1:12" x14ac:dyDescent="0.3">
      <c r="A26" s="5">
        <v>33</v>
      </c>
      <c r="B26" s="6">
        <v>71</v>
      </c>
      <c r="C26" s="7">
        <f t="shared" si="1"/>
        <v>77.776520230000017</v>
      </c>
      <c r="D26" s="1">
        <f t="shared" si="2"/>
        <v>77.032174080000004</v>
      </c>
      <c r="E26" s="1">
        <f t="shared" si="3"/>
        <v>75.862167629999988</v>
      </c>
      <c r="F26" s="1">
        <f t="shared" si="4"/>
        <v>74.495534079999999</v>
      </c>
      <c r="G26" s="1">
        <f t="shared" si="5"/>
        <v>-6.7765202300000169</v>
      </c>
      <c r="H26" s="1">
        <f t="shared" si="8"/>
        <v>6.7765202300000169</v>
      </c>
      <c r="I26" s="11">
        <f t="shared" si="6"/>
        <v>-9.5443946901408686E-2</v>
      </c>
      <c r="J26" s="11">
        <f t="shared" si="7"/>
        <v>9.5443946901408686E-2</v>
      </c>
      <c r="K26" s="11">
        <f>AVERAGE(H18:H26)</f>
        <v>10.655441992222228</v>
      </c>
      <c r="L26" s="11">
        <f>SUM(G18:G26)/K26</f>
        <v>-0.84570099828592371</v>
      </c>
    </row>
    <row r="27" spans="1:12" x14ac:dyDescent="0.3">
      <c r="A27" s="5">
        <v>34</v>
      </c>
      <c r="B27" s="6">
        <v>98</v>
      </c>
      <c r="C27" s="7">
        <f t="shared" si="1"/>
        <v>77.09886820700001</v>
      </c>
      <c r="D27" s="1">
        <f t="shared" si="2"/>
        <v>75.825739264000006</v>
      </c>
      <c r="E27" s="1">
        <f t="shared" si="3"/>
        <v>74.403517340999983</v>
      </c>
      <c r="F27" s="1">
        <f t="shared" si="4"/>
        <v>73.097320448000005</v>
      </c>
      <c r="G27" s="1">
        <f t="shared" si="5"/>
        <v>20.90113179299999</v>
      </c>
      <c r="H27" s="1">
        <f t="shared" si="8"/>
        <v>20.90113179299999</v>
      </c>
      <c r="I27" s="11">
        <f t="shared" si="6"/>
        <v>0.21327685503061214</v>
      </c>
      <c r="J27" s="11">
        <f t="shared" si="7"/>
        <v>0.21327685503061214</v>
      </c>
      <c r="K27" s="11">
        <f>AVERAGE(H18:H27)</f>
        <v>11.680010972300003</v>
      </c>
      <c r="L27" s="11">
        <f>SUM(G18:G27)/K27</f>
        <v>1.0179625593843584</v>
      </c>
    </row>
    <row r="28" spans="1:12" ht="15" thickBot="1" x14ac:dyDescent="0.35">
      <c r="A28" s="8">
        <v>35</v>
      </c>
      <c r="B28" s="9">
        <v>69</v>
      </c>
      <c r="C28" s="10">
        <f t="shared" si="1"/>
        <v>79.188981386300014</v>
      </c>
      <c r="D28" s="1">
        <f t="shared" si="2"/>
        <v>80.260591411200011</v>
      </c>
      <c r="E28" s="1">
        <f t="shared" si="3"/>
        <v>81.482462138699987</v>
      </c>
      <c r="F28" s="1">
        <f t="shared" si="4"/>
        <v>83.058392268800006</v>
      </c>
      <c r="G28" s="1">
        <f t="shared" si="5"/>
        <v>-10.188981386300014</v>
      </c>
      <c r="H28" s="1">
        <f t="shared" si="8"/>
        <v>10.188981386300014</v>
      </c>
      <c r="I28" s="11">
        <f t="shared" si="6"/>
        <v>-0.14766639690289876</v>
      </c>
      <c r="J28" s="11">
        <f t="shared" si="7"/>
        <v>0.14766639690289876</v>
      </c>
      <c r="K28" s="11">
        <f>AVERAGE(H18:H28)</f>
        <v>11.544462828118187</v>
      </c>
      <c r="L28" s="11">
        <f>SUM(G18:G28)/K28</f>
        <v>0.14732885384301006</v>
      </c>
    </row>
    <row r="29" spans="1:12" x14ac:dyDescent="0.3">
      <c r="G29" s="1">
        <f>SUM(G18:G28)</f>
        <v>1.7008324766998868</v>
      </c>
      <c r="H29" s="1">
        <f>AVERAGE(H18:H28)</f>
        <v>11.544462828118187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07DF-C9C1-4C91-9C33-A59705CAFFAF}">
  <dimension ref="A1:G29"/>
  <sheetViews>
    <sheetView workbookViewId="0">
      <selection activeCell="G3" sqref="G3"/>
    </sheetView>
  </sheetViews>
  <sheetFormatPr defaultRowHeight="14.4" x14ac:dyDescent="0.3"/>
  <sheetData>
    <row r="1" spans="1:7" x14ac:dyDescent="0.3">
      <c r="A1" s="12" t="s">
        <v>0</v>
      </c>
      <c r="B1" s="12" t="s">
        <v>1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</row>
    <row r="2" spans="1:7" x14ac:dyDescent="0.3">
      <c r="A2">
        <v>1994</v>
      </c>
      <c r="B2">
        <v>1</v>
      </c>
      <c r="C2">
        <v>1</v>
      </c>
      <c r="D2">
        <v>500</v>
      </c>
      <c r="E2">
        <v>500</v>
      </c>
      <c r="F2">
        <v>0</v>
      </c>
      <c r="G2">
        <f>E2+1*F2</f>
        <v>500</v>
      </c>
    </row>
    <row r="3" spans="1:7" x14ac:dyDescent="0.3">
      <c r="B3">
        <v>2</v>
      </c>
      <c r="C3">
        <v>2</v>
      </c>
      <c r="D3">
        <v>350</v>
      </c>
      <c r="E3">
        <f>0.3*D3+0.7*(E2+F2)</f>
        <v>455</v>
      </c>
      <c r="F3">
        <f>0.1*(E3-E2)+0.9*F2</f>
        <v>-4.5</v>
      </c>
      <c r="G3" s="11">
        <f>E2+1*F2</f>
        <v>500</v>
      </c>
    </row>
    <row r="4" spans="1:7" x14ac:dyDescent="0.3">
      <c r="B4">
        <v>3</v>
      </c>
      <c r="C4">
        <v>3</v>
      </c>
      <c r="D4">
        <v>250</v>
      </c>
      <c r="E4">
        <f>0.3*D4+0.7*(E3+F3)</f>
        <v>390.34999999999997</v>
      </c>
      <c r="F4">
        <f>0.1*(E4-E3)+0.9*F3</f>
        <v>-10.515000000000004</v>
      </c>
      <c r="G4" s="11">
        <f t="shared" ref="G4:G29" si="0">E3+1*F3</f>
        <v>450.5</v>
      </c>
    </row>
    <row r="5" spans="1:7" x14ac:dyDescent="0.3">
      <c r="B5">
        <v>4</v>
      </c>
      <c r="C5">
        <v>4</v>
      </c>
      <c r="D5">
        <v>400</v>
      </c>
      <c r="E5" s="11">
        <f t="shared" ref="E5:E29" si="1">0.3*D5+0.7*(E4+F4)</f>
        <v>385.88449999999995</v>
      </c>
      <c r="F5" s="11">
        <f t="shared" ref="F5:F29" si="2">0.1*(E5-E4)+0.9*F4</f>
        <v>-9.9100500000000054</v>
      </c>
      <c r="G5" s="11">
        <f t="shared" si="0"/>
        <v>379.83499999999998</v>
      </c>
    </row>
    <row r="6" spans="1:7" x14ac:dyDescent="0.3">
      <c r="A6">
        <v>1995</v>
      </c>
      <c r="B6">
        <v>1</v>
      </c>
      <c r="C6">
        <v>5</v>
      </c>
      <c r="D6">
        <v>450</v>
      </c>
      <c r="E6" s="11">
        <f t="shared" si="1"/>
        <v>398.18211499999995</v>
      </c>
      <c r="F6" s="11">
        <f t="shared" si="2"/>
        <v>-7.6892835000000055</v>
      </c>
      <c r="G6" s="11">
        <f t="shared" si="0"/>
        <v>375.97444999999993</v>
      </c>
    </row>
    <row r="7" spans="1:7" x14ac:dyDescent="0.3">
      <c r="B7">
        <v>2</v>
      </c>
      <c r="C7">
        <v>6</v>
      </c>
      <c r="D7">
        <v>350</v>
      </c>
      <c r="E7" s="11">
        <f t="shared" si="1"/>
        <v>378.34498204999994</v>
      </c>
      <c r="F7" s="11">
        <f t="shared" si="2"/>
        <v>-8.9040684450000072</v>
      </c>
      <c r="G7" s="11">
        <f t="shared" si="0"/>
        <v>390.49283149999997</v>
      </c>
    </row>
    <row r="8" spans="1:7" x14ac:dyDescent="0.3">
      <c r="B8">
        <v>3</v>
      </c>
      <c r="C8">
        <v>7</v>
      </c>
      <c r="D8">
        <v>200</v>
      </c>
      <c r="E8" s="11">
        <f t="shared" si="1"/>
        <v>318.60863952349996</v>
      </c>
      <c r="F8" s="11">
        <f t="shared" si="2"/>
        <v>-13.987295853150005</v>
      </c>
      <c r="G8" s="11">
        <f t="shared" si="0"/>
        <v>369.44091360499993</v>
      </c>
    </row>
    <row r="9" spans="1:7" x14ac:dyDescent="0.3">
      <c r="B9">
        <v>4</v>
      </c>
      <c r="C9">
        <v>8</v>
      </c>
      <c r="D9">
        <v>300</v>
      </c>
      <c r="E9" s="11">
        <f t="shared" si="1"/>
        <v>303.23494056924494</v>
      </c>
      <c r="F9" s="11">
        <f t="shared" si="2"/>
        <v>-14.125936163260508</v>
      </c>
      <c r="G9" s="11">
        <f t="shared" si="0"/>
        <v>304.62134367034997</v>
      </c>
    </row>
    <row r="10" spans="1:7" x14ac:dyDescent="0.3">
      <c r="A10">
        <v>1996</v>
      </c>
      <c r="B10">
        <v>1</v>
      </c>
      <c r="C10">
        <v>9</v>
      </c>
      <c r="D10">
        <v>350</v>
      </c>
      <c r="E10" s="11">
        <f t="shared" si="1"/>
        <v>307.37630308418909</v>
      </c>
      <c r="F10" s="11">
        <f t="shared" si="2"/>
        <v>-12.299206295440042</v>
      </c>
      <c r="G10" s="11">
        <f t="shared" si="0"/>
        <v>289.10900440598442</v>
      </c>
    </row>
    <row r="11" spans="1:7" x14ac:dyDescent="0.3">
      <c r="B11">
        <v>2</v>
      </c>
      <c r="C11">
        <v>10</v>
      </c>
      <c r="D11">
        <v>200</v>
      </c>
      <c r="E11" s="11">
        <f t="shared" si="1"/>
        <v>266.55396775212432</v>
      </c>
      <c r="F11" s="11">
        <f t="shared" si="2"/>
        <v>-15.151519199102514</v>
      </c>
      <c r="G11" s="11">
        <f t="shared" si="0"/>
        <v>295.07709678874903</v>
      </c>
    </row>
    <row r="12" spans="1:7" x14ac:dyDescent="0.3">
      <c r="B12">
        <v>3</v>
      </c>
      <c r="C12">
        <v>11</v>
      </c>
      <c r="D12">
        <v>150</v>
      </c>
      <c r="E12" s="11">
        <f t="shared" si="1"/>
        <v>220.98171398711526</v>
      </c>
      <c r="F12" s="11">
        <f t="shared" si="2"/>
        <v>-18.19359265569317</v>
      </c>
      <c r="G12" s="11">
        <f t="shared" si="0"/>
        <v>251.4024485530218</v>
      </c>
    </row>
    <row r="13" spans="1:7" x14ac:dyDescent="0.3">
      <c r="B13">
        <v>4</v>
      </c>
      <c r="C13">
        <v>12</v>
      </c>
      <c r="D13">
        <v>400</v>
      </c>
      <c r="E13" s="11">
        <f t="shared" si="1"/>
        <v>261.95168493199543</v>
      </c>
      <c r="F13" s="11">
        <f t="shared" si="2"/>
        <v>-12.277236295635834</v>
      </c>
      <c r="G13" s="11">
        <f t="shared" si="0"/>
        <v>202.78812133142208</v>
      </c>
    </row>
    <row r="14" spans="1:7" x14ac:dyDescent="0.3">
      <c r="A14">
        <v>1997</v>
      </c>
      <c r="B14">
        <v>1</v>
      </c>
      <c r="C14">
        <v>13</v>
      </c>
      <c r="D14">
        <v>550</v>
      </c>
      <c r="E14" s="11">
        <f t="shared" si="1"/>
        <v>339.7721140454517</v>
      </c>
      <c r="F14" s="11">
        <f t="shared" si="2"/>
        <v>-3.2674697547266245</v>
      </c>
      <c r="G14" s="11">
        <f t="shared" si="0"/>
        <v>249.67444863635959</v>
      </c>
    </row>
    <row r="15" spans="1:7" x14ac:dyDescent="0.3">
      <c r="B15">
        <v>2</v>
      </c>
      <c r="C15">
        <v>14</v>
      </c>
      <c r="D15">
        <v>350</v>
      </c>
      <c r="E15" s="11">
        <f t="shared" si="1"/>
        <v>340.55325100350751</v>
      </c>
      <c r="F15" s="11">
        <f t="shared" si="2"/>
        <v>-2.8626090834483811</v>
      </c>
      <c r="G15" s="11">
        <f t="shared" si="0"/>
        <v>336.50464429072508</v>
      </c>
    </row>
    <row r="16" spans="1:7" x14ac:dyDescent="0.3">
      <c r="B16">
        <v>3</v>
      </c>
      <c r="C16">
        <v>15</v>
      </c>
      <c r="D16">
        <v>250</v>
      </c>
      <c r="E16" s="11">
        <f t="shared" si="1"/>
        <v>311.38344934404137</v>
      </c>
      <c r="F16" s="11">
        <f t="shared" si="2"/>
        <v>-5.4933283410501579</v>
      </c>
      <c r="G16" s="11">
        <f t="shared" si="0"/>
        <v>337.69064192005914</v>
      </c>
    </row>
    <row r="17" spans="1:7" x14ac:dyDescent="0.3">
      <c r="B17">
        <v>4</v>
      </c>
      <c r="C17">
        <v>16</v>
      </c>
      <c r="D17">
        <v>550</v>
      </c>
      <c r="E17" s="11">
        <f t="shared" si="1"/>
        <v>379.12308470209382</v>
      </c>
      <c r="F17" s="11">
        <f t="shared" si="2"/>
        <v>1.8299680288601037</v>
      </c>
      <c r="G17" s="11">
        <f t="shared" si="0"/>
        <v>305.89012100299124</v>
      </c>
    </row>
    <row r="18" spans="1:7" x14ac:dyDescent="0.3">
      <c r="A18">
        <v>1998</v>
      </c>
      <c r="B18">
        <v>1</v>
      </c>
      <c r="C18">
        <v>17</v>
      </c>
      <c r="D18">
        <v>550</v>
      </c>
      <c r="E18" s="11">
        <f t="shared" si="1"/>
        <v>431.66713691166774</v>
      </c>
      <c r="F18" s="11">
        <f t="shared" si="2"/>
        <v>6.9013764469314856</v>
      </c>
      <c r="G18" s="11">
        <f t="shared" si="0"/>
        <v>380.95305273095391</v>
      </c>
    </row>
    <row r="19" spans="1:7" x14ac:dyDescent="0.3">
      <c r="B19">
        <v>2</v>
      </c>
      <c r="C19">
        <v>18</v>
      </c>
      <c r="D19">
        <v>400</v>
      </c>
      <c r="E19" s="11">
        <f t="shared" si="1"/>
        <v>426.9979593510194</v>
      </c>
      <c r="F19" s="11">
        <f t="shared" si="2"/>
        <v>5.7443210461735035</v>
      </c>
      <c r="G19" s="11">
        <f t="shared" si="0"/>
        <v>438.5685133585992</v>
      </c>
    </row>
    <row r="20" spans="1:7" x14ac:dyDescent="0.3">
      <c r="B20">
        <v>3</v>
      </c>
      <c r="C20">
        <v>19</v>
      </c>
      <c r="D20">
        <v>350</v>
      </c>
      <c r="E20" s="11">
        <f t="shared" si="1"/>
        <v>407.91959627803504</v>
      </c>
      <c r="F20" s="11">
        <f t="shared" si="2"/>
        <v>3.2620526342577172</v>
      </c>
      <c r="G20" s="11">
        <f t="shared" si="0"/>
        <v>432.74228039719293</v>
      </c>
    </row>
    <row r="21" spans="1:7" x14ac:dyDescent="0.3">
      <c r="B21">
        <v>4</v>
      </c>
      <c r="C21">
        <v>20</v>
      </c>
      <c r="D21">
        <v>600</v>
      </c>
      <c r="E21" s="11">
        <f t="shared" si="1"/>
        <v>467.82715423860492</v>
      </c>
      <c r="F21" s="11">
        <f t="shared" si="2"/>
        <v>8.926603166888933</v>
      </c>
      <c r="G21" s="11">
        <f t="shared" si="0"/>
        <v>411.18164891229276</v>
      </c>
    </row>
    <row r="22" spans="1:7" x14ac:dyDescent="0.3">
      <c r="A22">
        <v>1999</v>
      </c>
      <c r="B22">
        <v>1</v>
      </c>
      <c r="C22">
        <v>21</v>
      </c>
      <c r="D22">
        <v>750</v>
      </c>
      <c r="E22" s="11">
        <f t="shared" si="1"/>
        <v>558.72763018384569</v>
      </c>
      <c r="F22" s="11">
        <f t="shared" si="2"/>
        <v>17.123990444724118</v>
      </c>
      <c r="G22" s="11">
        <f t="shared" si="0"/>
        <v>476.75375740549384</v>
      </c>
    </row>
    <row r="23" spans="1:7" x14ac:dyDescent="0.3">
      <c r="B23">
        <v>2</v>
      </c>
      <c r="C23">
        <v>22</v>
      </c>
      <c r="D23">
        <v>500</v>
      </c>
      <c r="E23" s="11">
        <f t="shared" si="1"/>
        <v>553.09613443999888</v>
      </c>
      <c r="F23" s="11">
        <f t="shared" si="2"/>
        <v>14.848441825867026</v>
      </c>
      <c r="G23" s="11">
        <f t="shared" si="0"/>
        <v>575.85162062856978</v>
      </c>
    </row>
    <row r="24" spans="1:7" x14ac:dyDescent="0.3">
      <c r="B24">
        <v>3</v>
      </c>
      <c r="C24">
        <v>23</v>
      </c>
      <c r="D24">
        <v>400</v>
      </c>
      <c r="E24" s="11">
        <f t="shared" si="1"/>
        <v>517.56120338610606</v>
      </c>
      <c r="F24" s="11">
        <f t="shared" si="2"/>
        <v>9.810104537891041</v>
      </c>
      <c r="G24" s="11">
        <f t="shared" si="0"/>
        <v>567.94457626586586</v>
      </c>
    </row>
    <row r="25" spans="1:7" x14ac:dyDescent="0.3">
      <c r="B25">
        <v>4</v>
      </c>
      <c r="C25">
        <v>24</v>
      </c>
      <c r="D25">
        <v>650</v>
      </c>
      <c r="E25" s="11">
        <f t="shared" si="1"/>
        <v>564.15991554679795</v>
      </c>
      <c r="F25" s="11">
        <f t="shared" si="2"/>
        <v>13.488965300171127</v>
      </c>
      <c r="G25" s="11">
        <f t="shared" si="0"/>
        <v>527.37130792399705</v>
      </c>
    </row>
    <row r="26" spans="1:7" x14ac:dyDescent="0.3">
      <c r="A26">
        <v>2000</v>
      </c>
      <c r="B26">
        <v>1</v>
      </c>
      <c r="C26">
        <v>25</v>
      </c>
      <c r="D26">
        <v>850</v>
      </c>
      <c r="E26" s="11">
        <f t="shared" si="1"/>
        <v>659.3542165928784</v>
      </c>
      <c r="F26" s="11">
        <f t="shared" si="2"/>
        <v>21.659498874762061</v>
      </c>
      <c r="G26" s="11">
        <f t="shared" si="0"/>
        <v>577.64888084696906</v>
      </c>
    </row>
    <row r="27" spans="1:7" x14ac:dyDescent="0.3">
      <c r="B27">
        <v>2</v>
      </c>
      <c r="C27">
        <v>26</v>
      </c>
      <c r="D27">
        <v>600</v>
      </c>
      <c r="E27" s="11">
        <f t="shared" si="1"/>
        <v>656.70960082734837</v>
      </c>
      <c r="F27" s="11">
        <f t="shared" si="2"/>
        <v>19.229087410732852</v>
      </c>
      <c r="G27" s="11">
        <f t="shared" si="0"/>
        <v>681.01371546764051</v>
      </c>
    </row>
    <row r="28" spans="1:7" x14ac:dyDescent="0.3">
      <c r="B28">
        <v>3</v>
      </c>
      <c r="C28">
        <v>27</v>
      </c>
      <c r="D28">
        <v>450</v>
      </c>
      <c r="E28" s="11">
        <f t="shared" si="1"/>
        <v>608.1570817666568</v>
      </c>
      <c r="F28" s="11">
        <f t="shared" si="2"/>
        <v>12.45092676359041</v>
      </c>
      <c r="G28" s="11">
        <f t="shared" si="0"/>
        <v>675.93868823808123</v>
      </c>
    </row>
    <row r="29" spans="1:7" x14ac:dyDescent="0.3">
      <c r="B29">
        <v>4</v>
      </c>
      <c r="C29">
        <v>28</v>
      </c>
      <c r="D29">
        <v>700</v>
      </c>
      <c r="E29" s="11">
        <f t="shared" si="1"/>
        <v>644.42560597117301</v>
      </c>
      <c r="F29" s="11">
        <f t="shared" si="2"/>
        <v>14.83268650768299</v>
      </c>
      <c r="G29" s="11">
        <f t="shared" si="0"/>
        <v>620.60800853024716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D186-DA50-412C-B736-2EBD3DC7F483}">
  <dimension ref="A1:I23"/>
  <sheetViews>
    <sheetView workbookViewId="0">
      <selection activeCell="B18" sqref="B18"/>
    </sheetView>
  </sheetViews>
  <sheetFormatPr defaultRowHeight="14.4" x14ac:dyDescent="0.3"/>
  <cols>
    <col min="7" max="7" width="12" bestFit="1" customWidth="1"/>
  </cols>
  <sheetData>
    <row r="1" spans="1:8" x14ac:dyDescent="0.3">
      <c r="A1">
        <v>1</v>
      </c>
      <c r="B1">
        <v>8</v>
      </c>
      <c r="C1">
        <v>4</v>
      </c>
      <c r="D1">
        <v>2</v>
      </c>
      <c r="E1">
        <v>6</v>
      </c>
      <c r="F1">
        <v>15</v>
      </c>
      <c r="G1">
        <f>SUM(B1:F1)</f>
        <v>35</v>
      </c>
      <c r="H1">
        <f>G1/5</f>
        <v>7</v>
      </c>
    </row>
    <row r="2" spans="1:8" x14ac:dyDescent="0.3">
      <c r="A2">
        <v>2</v>
      </c>
      <c r="B2">
        <v>9</v>
      </c>
      <c r="C2">
        <v>5</v>
      </c>
      <c r="D2">
        <v>4</v>
      </c>
      <c r="E2">
        <v>7</v>
      </c>
      <c r="F2">
        <v>15</v>
      </c>
      <c r="G2">
        <f t="shared" ref="G2:G4" si="0">SUM(B2:F2)</f>
        <v>40</v>
      </c>
      <c r="H2">
        <f t="shared" ref="H2:H4" si="1">G2/5</f>
        <v>8</v>
      </c>
    </row>
    <row r="3" spans="1:8" x14ac:dyDescent="0.3">
      <c r="A3">
        <v>3</v>
      </c>
      <c r="B3">
        <v>11</v>
      </c>
      <c r="C3">
        <v>5</v>
      </c>
      <c r="D3">
        <v>4</v>
      </c>
      <c r="E3">
        <v>8</v>
      </c>
      <c r="F3">
        <v>17</v>
      </c>
      <c r="G3">
        <f t="shared" si="0"/>
        <v>45</v>
      </c>
      <c r="H3">
        <f t="shared" si="1"/>
        <v>9</v>
      </c>
    </row>
    <row r="4" spans="1:8" x14ac:dyDescent="0.3">
      <c r="A4">
        <v>4</v>
      </c>
      <c r="B4">
        <v>13</v>
      </c>
      <c r="C4">
        <v>6</v>
      </c>
      <c r="D4">
        <v>5</v>
      </c>
      <c r="E4">
        <v>10</v>
      </c>
      <c r="F4">
        <v>16</v>
      </c>
      <c r="G4">
        <f t="shared" si="0"/>
        <v>50</v>
      </c>
      <c r="H4">
        <f t="shared" si="1"/>
        <v>10</v>
      </c>
    </row>
    <row r="5" spans="1:8" x14ac:dyDescent="0.3">
      <c r="A5" t="s">
        <v>18</v>
      </c>
      <c r="B5">
        <f>SUM(B1:B4)</f>
        <v>41</v>
      </c>
      <c r="C5">
        <f t="shared" ref="C5:F5" si="2">SUM(C1:C4)</f>
        <v>20</v>
      </c>
      <c r="D5">
        <f t="shared" si="2"/>
        <v>15</v>
      </c>
      <c r="E5">
        <f t="shared" si="2"/>
        <v>31</v>
      </c>
      <c r="F5">
        <f t="shared" si="2"/>
        <v>63</v>
      </c>
    </row>
    <row r="6" spans="1:8" x14ac:dyDescent="0.3">
      <c r="B6">
        <f>B5/4</f>
        <v>10.25</v>
      </c>
      <c r="C6">
        <f t="shared" ref="C6:F6" si="3">C5/4</f>
        <v>5</v>
      </c>
      <c r="D6">
        <f t="shared" si="3"/>
        <v>3.75</v>
      </c>
      <c r="E6">
        <f t="shared" si="3"/>
        <v>7.75</v>
      </c>
      <c r="F6">
        <f t="shared" si="3"/>
        <v>15.75</v>
      </c>
    </row>
    <row r="7" spans="1:8" ht="15" thickBot="1" x14ac:dyDescent="0.35"/>
    <row r="8" spans="1:8" x14ac:dyDescent="0.3">
      <c r="A8" s="13" t="s">
        <v>20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5" t="s">
        <v>21</v>
      </c>
    </row>
    <row r="9" spans="1:8" x14ac:dyDescent="0.3">
      <c r="A9" s="16">
        <v>1</v>
      </c>
      <c r="B9" s="17">
        <f>B1/$H1</f>
        <v>1.1428571428571428</v>
      </c>
      <c r="C9" s="17">
        <f t="shared" ref="C9:F9" si="4">C1/$H1</f>
        <v>0.5714285714285714</v>
      </c>
      <c r="D9" s="17">
        <f t="shared" si="4"/>
        <v>0.2857142857142857</v>
      </c>
      <c r="E9" s="17">
        <f t="shared" si="4"/>
        <v>0.8571428571428571</v>
      </c>
      <c r="F9" s="17">
        <f t="shared" si="4"/>
        <v>2.1428571428571428</v>
      </c>
      <c r="G9" s="18">
        <f>SUM(B9:F9)</f>
        <v>5</v>
      </c>
    </row>
    <row r="10" spans="1:8" x14ac:dyDescent="0.3">
      <c r="A10" s="16">
        <v>2</v>
      </c>
      <c r="B10" s="17">
        <f t="shared" ref="B10:F12" si="5">B2/$H2</f>
        <v>1.125</v>
      </c>
      <c r="C10" s="17">
        <f t="shared" si="5"/>
        <v>0.625</v>
      </c>
      <c r="D10" s="17">
        <f t="shared" si="5"/>
        <v>0.5</v>
      </c>
      <c r="E10" s="17">
        <f t="shared" si="5"/>
        <v>0.875</v>
      </c>
      <c r="F10" s="17">
        <f t="shared" si="5"/>
        <v>1.875</v>
      </c>
      <c r="G10" s="18">
        <f t="shared" ref="G10:G12" si="6">SUM(B10:F10)</f>
        <v>5</v>
      </c>
    </row>
    <row r="11" spans="1:8" x14ac:dyDescent="0.3">
      <c r="A11" s="16">
        <v>3</v>
      </c>
      <c r="B11" s="17">
        <f t="shared" si="5"/>
        <v>1.2222222222222223</v>
      </c>
      <c r="C11" s="17">
        <f t="shared" si="5"/>
        <v>0.55555555555555558</v>
      </c>
      <c r="D11" s="17">
        <f t="shared" si="5"/>
        <v>0.44444444444444442</v>
      </c>
      <c r="E11" s="17">
        <f t="shared" si="5"/>
        <v>0.88888888888888884</v>
      </c>
      <c r="F11" s="17">
        <f t="shared" si="5"/>
        <v>1.8888888888888888</v>
      </c>
      <c r="G11" s="18">
        <f t="shared" si="6"/>
        <v>5</v>
      </c>
    </row>
    <row r="12" spans="1:8" x14ac:dyDescent="0.3">
      <c r="A12" s="16">
        <v>4</v>
      </c>
      <c r="B12" s="17">
        <f t="shared" si="5"/>
        <v>1.3</v>
      </c>
      <c r="C12" s="17">
        <f t="shared" si="5"/>
        <v>0.6</v>
      </c>
      <c r="D12" s="17">
        <f t="shared" si="5"/>
        <v>0.5</v>
      </c>
      <c r="E12" s="17">
        <f t="shared" si="5"/>
        <v>1</v>
      </c>
      <c r="F12" s="17">
        <f t="shared" si="5"/>
        <v>1.6</v>
      </c>
      <c r="G12" s="18">
        <f t="shared" si="6"/>
        <v>5</v>
      </c>
    </row>
    <row r="13" spans="1:8" x14ac:dyDescent="0.3">
      <c r="A13" s="16" t="s">
        <v>18</v>
      </c>
      <c r="B13" s="17">
        <f>SUM(B9:B12)</f>
        <v>4.7900793650793654</v>
      </c>
      <c r="C13" s="17">
        <f t="shared" ref="C13:F13" si="7">SUM(C9:C12)</f>
        <v>2.3519841269841271</v>
      </c>
      <c r="D13" s="17">
        <f t="shared" si="7"/>
        <v>1.7301587301587302</v>
      </c>
      <c r="E13" s="17">
        <f t="shared" si="7"/>
        <v>3.621031746031746</v>
      </c>
      <c r="F13" s="17">
        <f t="shared" si="7"/>
        <v>7.5067460317460313</v>
      </c>
      <c r="G13" s="19"/>
    </row>
    <row r="14" spans="1:8" ht="15" thickBot="1" x14ac:dyDescent="0.35">
      <c r="A14" s="20" t="s">
        <v>19</v>
      </c>
      <c r="B14" s="21">
        <f>B13/4</f>
        <v>1.1975198412698413</v>
      </c>
      <c r="C14" s="21">
        <f t="shared" ref="C14:F14" si="8">C13/4</f>
        <v>0.58799603174603177</v>
      </c>
      <c r="D14" s="21">
        <f t="shared" si="8"/>
        <v>0.43253968253968256</v>
      </c>
      <c r="E14" s="21">
        <f t="shared" si="8"/>
        <v>0.90525793650793651</v>
      </c>
      <c r="F14" s="21">
        <f t="shared" si="8"/>
        <v>1.8766865079365078</v>
      </c>
      <c r="G14" s="22">
        <f>SUM(B14:F14)</f>
        <v>5</v>
      </c>
      <c r="H14" s="11"/>
    </row>
    <row r="16" spans="1:8" ht="15" thickBot="1" x14ac:dyDescent="0.35"/>
    <row r="17" spans="1:9" x14ac:dyDescent="0.3">
      <c r="A17" s="13" t="s">
        <v>20</v>
      </c>
      <c r="B17" s="14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5" t="s">
        <v>22</v>
      </c>
    </row>
    <row r="18" spans="1:9" x14ac:dyDescent="0.3">
      <c r="A18" s="16">
        <v>1</v>
      </c>
      <c r="B18" s="11">
        <f>B1/B$14</f>
        <v>6.680473862977383</v>
      </c>
      <c r="C18" s="11">
        <f t="shared" ref="C18:F18" si="9">C1/C$14</f>
        <v>6.8027669984815251</v>
      </c>
      <c r="D18" s="11">
        <f t="shared" si="9"/>
        <v>4.6238532110091741</v>
      </c>
      <c r="E18" s="11">
        <f t="shared" si="9"/>
        <v>6.6279452054794517</v>
      </c>
      <c r="F18" s="11">
        <f t="shared" si="9"/>
        <v>7.9928106993709367</v>
      </c>
      <c r="G18" s="11">
        <f>AVERAGE(B18:F18)</f>
        <v>6.5455699954636941</v>
      </c>
      <c r="I18" s="11"/>
    </row>
    <row r="19" spans="1:9" x14ac:dyDescent="0.3">
      <c r="A19" s="16">
        <v>2</v>
      </c>
      <c r="B19" s="11">
        <f t="shared" ref="B19:F21" si="10">B2/B$14</f>
        <v>7.5155330958495563</v>
      </c>
      <c r="C19" s="11">
        <f t="shared" si="10"/>
        <v>8.5034587481019059</v>
      </c>
      <c r="D19" s="11">
        <f t="shared" si="10"/>
        <v>9.2477064220183482</v>
      </c>
      <c r="E19" s="11">
        <f t="shared" si="10"/>
        <v>7.7326027397260271</v>
      </c>
      <c r="F19" s="11">
        <f t="shared" si="10"/>
        <v>7.9928106993709367</v>
      </c>
      <c r="G19" s="11">
        <f t="shared" ref="G19:G23" si="11">AVERAGE(B19:F19)</f>
        <v>8.1984223410133534</v>
      </c>
      <c r="I19" s="11"/>
    </row>
    <row r="20" spans="1:9" x14ac:dyDescent="0.3">
      <c r="A20" s="16">
        <v>3</v>
      </c>
      <c r="B20" s="11">
        <f t="shared" si="10"/>
        <v>9.1856515615939021</v>
      </c>
      <c r="C20" s="11">
        <f t="shared" si="10"/>
        <v>8.5034587481019059</v>
      </c>
      <c r="D20" s="11">
        <f t="shared" si="10"/>
        <v>9.2477064220183482</v>
      </c>
      <c r="E20" s="11">
        <f t="shared" si="10"/>
        <v>8.8372602739726034</v>
      </c>
      <c r="F20" s="11">
        <f t="shared" si="10"/>
        <v>9.0585187926203954</v>
      </c>
      <c r="G20" s="11">
        <f t="shared" si="11"/>
        <v>8.9665191596614306</v>
      </c>
      <c r="I20" s="11"/>
    </row>
    <row r="21" spans="1:9" x14ac:dyDescent="0.3">
      <c r="A21" s="16">
        <v>4</v>
      </c>
      <c r="B21" s="11">
        <f t="shared" si="10"/>
        <v>10.855770027338249</v>
      </c>
      <c r="C21" s="11">
        <f t="shared" si="10"/>
        <v>10.204150497722287</v>
      </c>
      <c r="D21" s="11">
        <f t="shared" si="10"/>
        <v>11.559633027522935</v>
      </c>
      <c r="E21" s="11">
        <f t="shared" si="10"/>
        <v>11.046575342465754</v>
      </c>
      <c r="F21" s="11">
        <f t="shared" si="10"/>
        <v>8.525664745995666</v>
      </c>
      <c r="G21" s="11">
        <f t="shared" si="11"/>
        <v>10.438358728208978</v>
      </c>
      <c r="I21" s="11"/>
    </row>
    <row r="22" spans="1:9" x14ac:dyDescent="0.3">
      <c r="A22" s="23">
        <v>5</v>
      </c>
      <c r="B22" s="24">
        <f>B$14*(5.4+1.25*$A22)</f>
        <v>13.951106150793652</v>
      </c>
      <c r="C22" s="24">
        <f t="shared" ref="C22:F23" si="12">C$14*(5.4+1.25*$A22)</f>
        <v>6.8501537698412704</v>
      </c>
      <c r="D22" s="24">
        <f t="shared" si="12"/>
        <v>5.0390873015873021</v>
      </c>
      <c r="E22" s="24">
        <f t="shared" si="12"/>
        <v>10.54625496031746</v>
      </c>
      <c r="F22" s="24">
        <f t="shared" si="12"/>
        <v>21.863397817460317</v>
      </c>
      <c r="G22" s="24">
        <f t="shared" si="11"/>
        <v>11.65</v>
      </c>
      <c r="I22" s="11"/>
    </row>
    <row r="23" spans="1:9" x14ac:dyDescent="0.3">
      <c r="A23" s="23">
        <v>6</v>
      </c>
      <c r="B23" s="24">
        <f>B$14*(5.4+1.25*$A23)</f>
        <v>15.448005952380953</v>
      </c>
      <c r="C23" s="24">
        <f t="shared" si="12"/>
        <v>7.58514880952381</v>
      </c>
      <c r="D23" s="24">
        <f t="shared" si="12"/>
        <v>5.5797619047619049</v>
      </c>
      <c r="E23" s="24">
        <f t="shared" si="12"/>
        <v>11.677827380952381</v>
      </c>
      <c r="F23" s="24">
        <f t="shared" si="12"/>
        <v>24.20925595238095</v>
      </c>
      <c r="G23" s="24">
        <f t="shared" si="11"/>
        <v>12.9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6D0E-FD4F-43EE-9EF4-D20F92BC6040}">
  <dimension ref="A1:H33"/>
  <sheetViews>
    <sheetView topLeftCell="A9" workbookViewId="0">
      <selection activeCell="H35" sqref="H35"/>
    </sheetView>
  </sheetViews>
  <sheetFormatPr defaultRowHeight="14.4" x14ac:dyDescent="0.3"/>
  <sheetData>
    <row r="1" spans="1:8" x14ac:dyDescent="0.3">
      <c r="A1" s="12" t="s">
        <v>0</v>
      </c>
      <c r="B1" s="12" t="s">
        <v>1</v>
      </c>
      <c r="C1" s="12" t="s">
        <v>8</v>
      </c>
      <c r="D1" s="12" t="s">
        <v>9</v>
      </c>
      <c r="E1" s="12" t="s">
        <v>10</v>
      </c>
      <c r="F1" s="12" t="s">
        <v>23</v>
      </c>
      <c r="G1" s="12" t="s">
        <v>24</v>
      </c>
      <c r="H1" s="12" t="s">
        <v>12</v>
      </c>
    </row>
    <row r="2" spans="1:8" x14ac:dyDescent="0.3">
      <c r="A2">
        <v>1994</v>
      </c>
      <c r="B2">
        <v>1</v>
      </c>
      <c r="C2">
        <v>1</v>
      </c>
      <c r="D2">
        <v>500</v>
      </c>
      <c r="G2" s="25">
        <f>D2/$E$5</f>
        <v>1.3333333333333333</v>
      </c>
    </row>
    <row r="3" spans="1:8" x14ac:dyDescent="0.3">
      <c r="B3">
        <v>2</v>
      </c>
      <c r="C3">
        <v>2</v>
      </c>
      <c r="D3">
        <v>350</v>
      </c>
      <c r="G3" s="25">
        <f>D3/$E$5</f>
        <v>0.93333333333333335</v>
      </c>
    </row>
    <row r="4" spans="1:8" x14ac:dyDescent="0.3">
      <c r="B4">
        <v>3</v>
      </c>
      <c r="C4">
        <v>3</v>
      </c>
      <c r="D4">
        <v>250</v>
      </c>
      <c r="G4" s="25">
        <f>D4/$E$5</f>
        <v>0.66666666666666663</v>
      </c>
    </row>
    <row r="5" spans="1:8" x14ac:dyDescent="0.3">
      <c r="B5">
        <v>4</v>
      </c>
      <c r="C5">
        <v>4</v>
      </c>
      <c r="D5">
        <v>400</v>
      </c>
      <c r="E5">
        <f>SUM(D2:D5)/4</f>
        <v>375</v>
      </c>
      <c r="F5">
        <f>0.25*0.25*(D6-D2+D7-D3+D8-D4+D9-D5)</f>
        <v>-12.5</v>
      </c>
      <c r="G5" s="25">
        <f>D5/$E$5</f>
        <v>1.0666666666666667</v>
      </c>
    </row>
    <row r="6" spans="1:8" x14ac:dyDescent="0.3">
      <c r="A6">
        <v>1995</v>
      </c>
      <c r="B6">
        <v>1</v>
      </c>
      <c r="C6">
        <v>5</v>
      </c>
      <c r="D6">
        <v>450</v>
      </c>
      <c r="E6">
        <f>0.4*D6/G2+0.6*(E5+F5)</f>
        <v>352.5</v>
      </c>
      <c r="F6">
        <f>0.1*(E6-E5)+0.9*F5</f>
        <v>-13.5</v>
      </c>
      <c r="G6" s="25">
        <f>0.3*D6/E6+(1-0.3)*G2</f>
        <v>1.3163120567375886</v>
      </c>
      <c r="H6" s="11">
        <f>(E5+1*F5)*G2</f>
        <v>483.33333333333331</v>
      </c>
    </row>
    <row r="7" spans="1:8" x14ac:dyDescent="0.3">
      <c r="B7">
        <v>2</v>
      </c>
      <c r="C7">
        <v>6</v>
      </c>
      <c r="D7">
        <v>350</v>
      </c>
      <c r="E7" s="11">
        <f t="shared" ref="E7:E29" si="0">0.4*D7/G3+0.6*(E6+F6)</f>
        <v>353.4</v>
      </c>
      <c r="F7" s="11">
        <f t="shared" ref="F7:F29" si="1">0.1*(E7-E6)+0.9*F6</f>
        <v>-12.060000000000002</v>
      </c>
      <c r="G7" s="25">
        <f t="shared" ref="G7:G29" si="2">0.3*D7/E7+(1-0.3)*G3</f>
        <v>0.95044708545557444</v>
      </c>
      <c r="H7" s="11">
        <f t="shared" ref="H7:H29" si="3">(E6+1*F6)*G3</f>
        <v>316.39999999999998</v>
      </c>
    </row>
    <row r="8" spans="1:8" x14ac:dyDescent="0.3">
      <c r="B8">
        <v>3</v>
      </c>
      <c r="C8">
        <v>7</v>
      </c>
      <c r="D8">
        <v>200</v>
      </c>
      <c r="E8" s="11">
        <f t="shared" si="0"/>
        <v>324.80399999999997</v>
      </c>
      <c r="F8" s="11">
        <f t="shared" si="1"/>
        <v>-13.713600000000003</v>
      </c>
      <c r="G8" s="25">
        <f t="shared" si="2"/>
        <v>0.65139345574561891</v>
      </c>
      <c r="H8" s="11">
        <f t="shared" si="3"/>
        <v>227.55999999999997</v>
      </c>
    </row>
    <row r="9" spans="1:8" x14ac:dyDescent="0.3">
      <c r="B9">
        <v>4</v>
      </c>
      <c r="C9">
        <v>8</v>
      </c>
      <c r="D9">
        <v>300</v>
      </c>
      <c r="E9" s="11">
        <f t="shared" si="0"/>
        <v>299.15423999999996</v>
      </c>
      <c r="F9" s="11">
        <f t="shared" si="1"/>
        <v>-14.907216000000005</v>
      </c>
      <c r="G9" s="25">
        <f t="shared" si="2"/>
        <v>1.0475148177742692</v>
      </c>
      <c r="H9" s="11">
        <f t="shared" si="3"/>
        <v>331.82975999999996</v>
      </c>
    </row>
    <row r="10" spans="1:8" x14ac:dyDescent="0.3">
      <c r="A10">
        <v>1996</v>
      </c>
      <c r="B10">
        <v>1</v>
      </c>
      <c r="C10">
        <v>9</v>
      </c>
      <c r="D10">
        <v>350</v>
      </c>
      <c r="E10" s="11">
        <f t="shared" si="0"/>
        <v>276.90597302068966</v>
      </c>
      <c r="F10" s="11">
        <f t="shared" si="1"/>
        <v>-15.641321097931035</v>
      </c>
      <c r="G10" s="25">
        <f t="shared" si="2"/>
        <v>1.3006085267143799</v>
      </c>
      <c r="H10" s="11">
        <f t="shared" si="3"/>
        <v>374.15778478297864</v>
      </c>
    </row>
    <row r="11" spans="1:8" x14ac:dyDescent="0.3">
      <c r="B11">
        <v>2</v>
      </c>
      <c r="C11">
        <v>10</v>
      </c>
      <c r="D11">
        <v>200</v>
      </c>
      <c r="E11" s="11">
        <f t="shared" si="0"/>
        <v>240.92970526788372</v>
      </c>
      <c r="F11" s="11">
        <f t="shared" si="1"/>
        <v>-17.674815763418525</v>
      </c>
      <c r="G11" s="25">
        <f t="shared" si="2"/>
        <v>0.91434825388231977</v>
      </c>
      <c r="H11" s="11">
        <f t="shared" si="3"/>
        <v>248.31822695255107</v>
      </c>
    </row>
    <row r="12" spans="1:8" x14ac:dyDescent="0.3">
      <c r="B12">
        <v>3</v>
      </c>
      <c r="C12">
        <v>11</v>
      </c>
      <c r="D12">
        <v>150</v>
      </c>
      <c r="E12" s="11">
        <f t="shared" si="0"/>
        <v>226.06316212264517</v>
      </c>
      <c r="F12" s="11">
        <f t="shared" si="1"/>
        <v>-17.393988501600528</v>
      </c>
      <c r="G12" s="25">
        <f t="shared" si="2"/>
        <v>0.65503483046016808</v>
      </c>
      <c r="H12" s="11">
        <f t="shared" si="3"/>
        <v>145.42677398641987</v>
      </c>
    </row>
    <row r="13" spans="1:8" x14ac:dyDescent="0.3">
      <c r="B13">
        <v>4</v>
      </c>
      <c r="C13">
        <v>12</v>
      </c>
      <c r="D13">
        <v>400</v>
      </c>
      <c r="E13" s="11">
        <f t="shared" si="0"/>
        <v>277.94397357269088</v>
      </c>
      <c r="F13" s="11">
        <f t="shared" si="1"/>
        <v>-10.466508506435904</v>
      </c>
      <c r="G13" s="25">
        <f t="shared" si="2"/>
        <v>1.1650020592917532</v>
      </c>
      <c r="H13" s="11">
        <f t="shared" si="3"/>
        <v>218.58405138075594</v>
      </c>
    </row>
    <row r="14" spans="1:8" x14ac:dyDescent="0.3">
      <c r="A14">
        <v>1997</v>
      </c>
      <c r="B14">
        <v>1</v>
      </c>
      <c r="C14">
        <v>13</v>
      </c>
      <c r="D14">
        <v>550</v>
      </c>
      <c r="E14" s="11">
        <f t="shared" si="0"/>
        <v>329.63806883885104</v>
      </c>
      <c r="F14" s="11">
        <f t="shared" si="1"/>
        <v>-4.2504481291762968</v>
      </c>
      <c r="G14" s="25">
        <f t="shared" si="2"/>
        <v>1.4109749513500733</v>
      </c>
      <c r="H14" s="11">
        <f t="shared" si="3"/>
        <v>347.8834717691189</v>
      </c>
    </row>
    <row r="15" spans="1:8" x14ac:dyDescent="0.3">
      <c r="B15">
        <v>2</v>
      </c>
      <c r="C15">
        <v>14</v>
      </c>
      <c r="D15">
        <v>350</v>
      </c>
      <c r="E15" s="11">
        <f t="shared" si="0"/>
        <v>348.34709898126164</v>
      </c>
      <c r="F15" s="11">
        <f t="shared" si="1"/>
        <v>-1.9545003020176075</v>
      </c>
      <c r="G15" s="25">
        <f t="shared" si="2"/>
        <v>0.9414672725797073</v>
      </c>
      <c r="H15" s="11">
        <f t="shared" si="3"/>
        <v>297.51760283081364</v>
      </c>
    </row>
    <row r="16" spans="1:8" x14ac:dyDescent="0.3">
      <c r="B16">
        <v>3</v>
      </c>
      <c r="C16">
        <v>15</v>
      </c>
      <c r="D16">
        <v>250</v>
      </c>
      <c r="E16" s="11">
        <f t="shared" si="0"/>
        <v>360.49919684914948</v>
      </c>
      <c r="F16" s="11">
        <f t="shared" si="1"/>
        <v>-0.54384048502706195</v>
      </c>
      <c r="G16" s="25">
        <f t="shared" si="2"/>
        <v>0.66656922762279791</v>
      </c>
      <c r="H16" s="11">
        <f t="shared" si="3"/>
        <v>226.89921714851565</v>
      </c>
    </row>
    <row r="17" spans="1:8" x14ac:dyDescent="0.3">
      <c r="B17">
        <v>4</v>
      </c>
      <c r="C17">
        <v>16</v>
      </c>
      <c r="D17">
        <v>550</v>
      </c>
      <c r="E17" s="11">
        <f t="shared" si="0"/>
        <v>404.81408173397392</v>
      </c>
      <c r="F17" s="11">
        <f t="shared" si="1"/>
        <v>3.9420320519580878</v>
      </c>
      <c r="G17" s="25">
        <f t="shared" si="2"/>
        <v>1.2230959582098757</v>
      </c>
      <c r="H17" s="11">
        <f t="shared" si="3"/>
        <v>419.34873141729946</v>
      </c>
    </row>
    <row r="18" spans="1:8" x14ac:dyDescent="0.3">
      <c r="A18">
        <v>1998</v>
      </c>
      <c r="B18">
        <v>1</v>
      </c>
      <c r="C18">
        <v>17</v>
      </c>
      <c r="D18">
        <v>550</v>
      </c>
      <c r="E18" s="11">
        <f t="shared" si="0"/>
        <v>401.17422503941384</v>
      </c>
      <c r="F18" s="11">
        <f t="shared" si="1"/>
        <v>3.183843177306271</v>
      </c>
      <c r="G18" s="25">
        <f t="shared" si="2"/>
        <v>1.3989750906987712</v>
      </c>
      <c r="H18" s="11">
        <f t="shared" si="3"/>
        <v>576.74463776315054</v>
      </c>
    </row>
    <row r="19" spans="1:8" x14ac:dyDescent="0.3">
      <c r="B19">
        <v>2</v>
      </c>
      <c r="C19">
        <v>18</v>
      </c>
      <c r="D19">
        <v>400</v>
      </c>
      <c r="E19" s="11">
        <f t="shared" si="0"/>
        <v>412.56233104467537</v>
      </c>
      <c r="F19" s="11">
        <f t="shared" si="1"/>
        <v>4.0042694601017974</v>
      </c>
      <c r="G19" s="25">
        <f t="shared" si="2"/>
        <v>0.94989223037425818</v>
      </c>
      <c r="H19" s="11">
        <f t="shared" si="3"/>
        <v>380.68988762959469</v>
      </c>
    </row>
    <row r="20" spans="1:8" x14ac:dyDescent="0.3">
      <c r="B20">
        <v>3</v>
      </c>
      <c r="C20">
        <v>19</v>
      </c>
      <c r="D20">
        <v>350</v>
      </c>
      <c r="E20" s="11">
        <f t="shared" si="0"/>
        <v>459.97065808842927</v>
      </c>
      <c r="F20" s="11">
        <f t="shared" si="1"/>
        <v>8.3446752184670085</v>
      </c>
      <c r="G20" s="25">
        <f t="shared" si="2"/>
        <v>0.69487388985225418</v>
      </c>
      <c r="H20" s="11">
        <f t="shared" si="3"/>
        <v>277.67047715192393</v>
      </c>
    </row>
    <row r="21" spans="1:8" x14ac:dyDescent="0.3">
      <c r="B21">
        <v>4</v>
      </c>
      <c r="C21">
        <v>20</v>
      </c>
      <c r="D21">
        <v>600</v>
      </c>
      <c r="E21" s="11">
        <f t="shared" si="0"/>
        <v>477.2125611922512</v>
      </c>
      <c r="F21" s="11">
        <f t="shared" si="1"/>
        <v>9.2343980070025005</v>
      </c>
      <c r="G21" s="25">
        <f t="shared" si="2"/>
        <v>1.2333575773663328</v>
      </c>
      <c r="H21" s="11">
        <f t="shared" si="3"/>
        <v>572.79459133537557</v>
      </c>
    </row>
    <row r="22" spans="1:8" x14ac:dyDescent="0.3">
      <c r="A22">
        <v>1999</v>
      </c>
      <c r="B22">
        <v>1</v>
      </c>
      <c r="C22">
        <v>21</v>
      </c>
      <c r="D22">
        <v>750</v>
      </c>
      <c r="E22" s="11">
        <f t="shared" si="0"/>
        <v>506.3108786059621</v>
      </c>
      <c r="F22" s="11">
        <f t="shared" si="1"/>
        <v>11.220789947673342</v>
      </c>
      <c r="G22" s="25">
        <f t="shared" si="2"/>
        <v>1.4236735681215069</v>
      </c>
      <c r="H22" s="11">
        <f t="shared" si="3"/>
        <v>680.52717886591745</v>
      </c>
    </row>
    <row r="23" spans="1:8" x14ac:dyDescent="0.3">
      <c r="B23">
        <v>2</v>
      </c>
      <c r="C23">
        <v>22</v>
      </c>
      <c r="D23">
        <v>500</v>
      </c>
      <c r="E23" s="11">
        <f t="shared" si="0"/>
        <v>521.06920209676844</v>
      </c>
      <c r="F23" s="11">
        <f t="shared" si="1"/>
        <v>11.574543301986642</v>
      </c>
      <c r="G23" s="25">
        <f t="shared" si="2"/>
        <v>0.95279419430957601</v>
      </c>
      <c r="H23" s="11">
        <f t="shared" si="3"/>
        <v>491.59931093172412</v>
      </c>
    </row>
    <row r="24" spans="1:8" x14ac:dyDescent="0.3">
      <c r="B24">
        <v>3</v>
      </c>
      <c r="C24">
        <v>23</v>
      </c>
      <c r="D24">
        <v>400</v>
      </c>
      <c r="E24" s="11">
        <f t="shared" si="0"/>
        <v>549.84385561480963</v>
      </c>
      <c r="F24" s="11">
        <f t="shared" si="1"/>
        <v>13.294554323592097</v>
      </c>
      <c r="G24" s="25">
        <f t="shared" si="2"/>
        <v>0.70465550024282397</v>
      </c>
      <c r="H24" s="11">
        <f t="shared" si="3"/>
        <v>370.12023127070665</v>
      </c>
    </row>
    <row r="25" spans="1:8" x14ac:dyDescent="0.3">
      <c r="B25">
        <v>4</v>
      </c>
      <c r="C25">
        <v>24</v>
      </c>
      <c r="D25">
        <v>650</v>
      </c>
      <c r="E25" s="11">
        <f t="shared" si="0"/>
        <v>548.68971287888769</v>
      </c>
      <c r="F25" s="11">
        <f t="shared" si="1"/>
        <v>11.849684617640694</v>
      </c>
      <c r="G25" s="25">
        <f t="shared" si="2"/>
        <v>1.2187424236420816</v>
      </c>
      <c r="H25" s="11">
        <f t="shared" si="3"/>
        <v>694.55102500355599</v>
      </c>
    </row>
    <row r="26" spans="1:8" x14ac:dyDescent="0.3">
      <c r="A26">
        <v>2000</v>
      </c>
      <c r="B26">
        <v>1</v>
      </c>
      <c r="C26">
        <v>25</v>
      </c>
      <c r="D26">
        <v>850</v>
      </c>
      <c r="E26" s="11">
        <f t="shared" si="0"/>
        <v>575.14242927494854</v>
      </c>
      <c r="F26" s="11">
        <f t="shared" si="1"/>
        <v>13.30998779548271</v>
      </c>
      <c r="G26" s="25">
        <f t="shared" si="2"/>
        <v>1.4399399348241213</v>
      </c>
      <c r="H26" s="11">
        <f t="shared" si="3"/>
        <v>798.02512410656232</v>
      </c>
    </row>
    <row r="27" spans="1:8" x14ac:dyDescent="0.3">
      <c r="B27">
        <v>2</v>
      </c>
      <c r="C27">
        <v>26</v>
      </c>
      <c r="D27">
        <v>600</v>
      </c>
      <c r="E27" s="11">
        <f t="shared" si="0"/>
        <v>604.96215385208848</v>
      </c>
      <c r="F27" s="11">
        <f t="shared" si="1"/>
        <v>14.960961473648434</v>
      </c>
      <c r="G27" s="25">
        <f t="shared" si="2"/>
        <v>0.96449520992640547</v>
      </c>
      <c r="H27" s="11">
        <f t="shared" si="3"/>
        <v>560.67404661214414</v>
      </c>
    </row>
    <row r="28" spans="1:8" x14ac:dyDescent="0.3">
      <c r="B28">
        <v>3</v>
      </c>
      <c r="C28">
        <v>27</v>
      </c>
      <c r="D28">
        <v>450</v>
      </c>
      <c r="E28" s="11">
        <f t="shared" si="0"/>
        <v>627.39784137471565</v>
      </c>
      <c r="F28" s="11">
        <f t="shared" si="1"/>
        <v>15.708434078546308</v>
      </c>
      <c r="G28" s="25">
        <f t="shared" si="2"/>
        <v>0.70843332336261045</v>
      </c>
      <c r="H28" s="11">
        <f t="shared" si="3"/>
        <v>436.83223294194704</v>
      </c>
    </row>
    <row r="29" spans="1:8" x14ac:dyDescent="0.3">
      <c r="B29">
        <v>4</v>
      </c>
      <c r="C29">
        <v>28</v>
      </c>
      <c r="D29">
        <v>700</v>
      </c>
      <c r="E29" s="11">
        <f t="shared" si="0"/>
        <v>615.60878322517647</v>
      </c>
      <c r="F29" s="11">
        <f t="shared" si="1"/>
        <v>12.95868485573776</v>
      </c>
      <c r="G29" s="25">
        <f t="shared" si="2"/>
        <v>1.1942454337421744</v>
      </c>
      <c r="H29" s="11">
        <f t="shared" si="3"/>
        <v>783.78090080534071</v>
      </c>
    </row>
    <row r="30" spans="1:8" x14ac:dyDescent="0.3">
      <c r="A30">
        <v>2001</v>
      </c>
      <c r="B30">
        <v>1</v>
      </c>
      <c r="H30" s="11">
        <f>(E29+1*F29)*G26</f>
        <v>905.0993990209945</v>
      </c>
    </row>
    <row r="31" spans="1:8" x14ac:dyDescent="0.3">
      <c r="B31">
        <v>2</v>
      </c>
      <c r="H31" s="11">
        <f>($E$29+B31*$F$29)*G27</f>
        <v>618.74890154991544</v>
      </c>
    </row>
    <row r="32" spans="1:8" x14ac:dyDescent="0.3">
      <c r="B32">
        <v>3</v>
      </c>
      <c r="H32" s="11">
        <f>($E$29+B32*$F$29)*G28</f>
        <v>463.6588687277017</v>
      </c>
    </row>
    <row r="33" spans="2:8" x14ac:dyDescent="0.3">
      <c r="B33">
        <v>4</v>
      </c>
      <c r="H33" s="11">
        <f>($E$29+B33*$F$29)*G29</f>
        <v>797.09137920331784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F40A-C510-4F38-9EC3-F0DACC2E5A2F}">
  <dimension ref="A1:H33"/>
  <sheetViews>
    <sheetView workbookViewId="0">
      <selection activeCell="G6" sqref="G6"/>
    </sheetView>
  </sheetViews>
  <sheetFormatPr defaultRowHeight="14.4" x14ac:dyDescent="0.3"/>
  <sheetData>
    <row r="1" spans="1:8" x14ac:dyDescent="0.3">
      <c r="A1" s="12" t="s">
        <v>0</v>
      </c>
      <c r="B1" s="12" t="s">
        <v>1</v>
      </c>
      <c r="C1" s="12" t="s">
        <v>8</v>
      </c>
      <c r="D1" s="12" t="s">
        <v>9</v>
      </c>
      <c r="E1" s="12" t="s">
        <v>10</v>
      </c>
      <c r="F1" s="12" t="s">
        <v>23</v>
      </c>
      <c r="G1" s="12" t="s">
        <v>24</v>
      </c>
      <c r="H1" s="12" t="s">
        <v>12</v>
      </c>
    </row>
    <row r="2" spans="1:8" x14ac:dyDescent="0.3">
      <c r="A2">
        <v>1994</v>
      </c>
      <c r="B2">
        <v>1</v>
      </c>
      <c r="C2">
        <v>1</v>
      </c>
      <c r="D2">
        <v>500</v>
      </c>
      <c r="G2" s="11">
        <f>D2-$E$5</f>
        <v>125</v>
      </c>
    </row>
    <row r="3" spans="1:8" x14ac:dyDescent="0.3">
      <c r="B3">
        <v>2</v>
      </c>
      <c r="C3">
        <v>2</v>
      </c>
      <c r="D3">
        <v>350</v>
      </c>
      <c r="G3" s="11">
        <f t="shared" ref="G3:G5" si="0">D3-$E$5</f>
        <v>-25</v>
      </c>
    </row>
    <row r="4" spans="1:8" x14ac:dyDescent="0.3">
      <c r="B4">
        <v>3</v>
      </c>
      <c r="C4">
        <v>3</v>
      </c>
      <c r="D4">
        <v>250</v>
      </c>
      <c r="G4" s="11">
        <f t="shared" si="0"/>
        <v>-125</v>
      </c>
    </row>
    <row r="5" spans="1:8" x14ac:dyDescent="0.3">
      <c r="B5">
        <v>4</v>
      </c>
      <c r="C5">
        <v>4</v>
      </c>
      <c r="D5">
        <v>400</v>
      </c>
      <c r="E5">
        <f>SUM(D2:D5)/4</f>
        <v>375</v>
      </c>
      <c r="F5">
        <f>0.25*0.25*(D6-D2+D7-D3+D8-D4+D9-D5)</f>
        <v>-12.5</v>
      </c>
      <c r="G5" s="11">
        <f t="shared" si="0"/>
        <v>25</v>
      </c>
    </row>
    <row r="6" spans="1:8" x14ac:dyDescent="0.3">
      <c r="A6">
        <v>1995</v>
      </c>
      <c r="B6">
        <v>1</v>
      </c>
      <c r="C6">
        <v>5</v>
      </c>
      <c r="D6">
        <v>450</v>
      </c>
      <c r="E6">
        <f>0.4*(D6-G2)+0.6*(E5+F5)</f>
        <v>347.5</v>
      </c>
      <c r="F6">
        <f>0.1*(E6-E5)+0.9*F5</f>
        <v>-14</v>
      </c>
      <c r="G6" s="11">
        <f>0.3*(D6-E6)+0.7*G2</f>
        <v>118.25</v>
      </c>
      <c r="H6" s="11">
        <f>E5+1*F5+G2</f>
        <v>487.5</v>
      </c>
    </row>
    <row r="7" spans="1:8" x14ac:dyDescent="0.3">
      <c r="B7">
        <v>2</v>
      </c>
      <c r="C7">
        <v>6</v>
      </c>
      <c r="D7">
        <v>350</v>
      </c>
      <c r="E7" s="11">
        <f t="shared" ref="E7:E29" si="1">0.4*(D7-G3)+0.6*(E6+F6)</f>
        <v>350.1</v>
      </c>
      <c r="F7" s="11">
        <f t="shared" ref="F7:F29" si="2">0.1*(E7-E6)+0.9*F6</f>
        <v>-12.339999999999998</v>
      </c>
      <c r="G7" s="11">
        <f t="shared" ref="G7:G29" si="3">0.3*(D7-E7)+0.7*G3</f>
        <v>-17.530000000000008</v>
      </c>
      <c r="H7" s="11">
        <f t="shared" ref="H7:H30" si="4">E6+1*F6+G3</f>
        <v>308.5</v>
      </c>
    </row>
    <row r="8" spans="1:8" x14ac:dyDescent="0.3">
      <c r="B8">
        <v>3</v>
      </c>
      <c r="C8">
        <v>7</v>
      </c>
      <c r="D8">
        <v>200</v>
      </c>
      <c r="E8" s="11">
        <f t="shared" si="1"/>
        <v>332.65600000000006</v>
      </c>
      <c r="F8" s="11">
        <f t="shared" si="2"/>
        <v>-12.850399999999993</v>
      </c>
      <c r="G8" s="11">
        <f t="shared" si="3"/>
        <v>-127.29680000000002</v>
      </c>
      <c r="H8" s="11">
        <f t="shared" si="4"/>
        <v>212.76000000000005</v>
      </c>
    </row>
    <row r="9" spans="1:8" x14ac:dyDescent="0.3">
      <c r="B9">
        <v>4</v>
      </c>
      <c r="C9">
        <v>8</v>
      </c>
      <c r="D9">
        <v>300</v>
      </c>
      <c r="E9" s="11">
        <f t="shared" si="1"/>
        <v>301.88336000000004</v>
      </c>
      <c r="F9" s="11">
        <f t="shared" si="2"/>
        <v>-14.642623999999998</v>
      </c>
      <c r="G9" s="11">
        <f t="shared" si="3"/>
        <v>16.934991999999987</v>
      </c>
      <c r="H9" s="11">
        <f t="shared" si="4"/>
        <v>344.80560000000008</v>
      </c>
    </row>
    <row r="10" spans="1:8" x14ac:dyDescent="0.3">
      <c r="A10">
        <v>1996</v>
      </c>
      <c r="B10">
        <v>1</v>
      </c>
      <c r="C10">
        <v>9</v>
      </c>
      <c r="D10">
        <v>350</v>
      </c>
      <c r="E10" s="11">
        <f t="shared" si="1"/>
        <v>265.04444160000003</v>
      </c>
      <c r="F10" s="11">
        <f t="shared" si="2"/>
        <v>-16.86225344</v>
      </c>
      <c r="G10" s="11">
        <f t="shared" si="3"/>
        <v>108.26166751999997</v>
      </c>
      <c r="H10" s="11">
        <f t="shared" si="4"/>
        <v>405.49073600000003</v>
      </c>
    </row>
    <row r="11" spans="1:8" x14ac:dyDescent="0.3">
      <c r="B11">
        <v>2</v>
      </c>
      <c r="C11">
        <v>10</v>
      </c>
      <c r="D11">
        <v>200</v>
      </c>
      <c r="E11" s="11">
        <f t="shared" si="1"/>
        <v>235.92131289600002</v>
      </c>
      <c r="F11" s="11">
        <f t="shared" si="2"/>
        <v>-18.088340966400001</v>
      </c>
      <c r="G11" s="11">
        <f t="shared" si="3"/>
        <v>-23.047393868800008</v>
      </c>
      <c r="H11" s="11">
        <f t="shared" si="4"/>
        <v>230.65218816000004</v>
      </c>
    </row>
    <row r="12" spans="1:8" x14ac:dyDescent="0.3">
      <c r="B12">
        <v>3</v>
      </c>
      <c r="C12">
        <v>11</v>
      </c>
      <c r="D12">
        <v>150</v>
      </c>
      <c r="E12" s="11">
        <f t="shared" si="1"/>
        <v>241.61850315776002</v>
      </c>
      <c r="F12" s="11">
        <f t="shared" si="2"/>
        <v>-15.709787843584003</v>
      </c>
      <c r="G12" s="11">
        <f t="shared" si="3"/>
        <v>-116.59331094732802</v>
      </c>
      <c r="H12" s="11">
        <f t="shared" si="4"/>
        <v>90.536171929599988</v>
      </c>
    </row>
    <row r="13" spans="1:8" x14ac:dyDescent="0.3">
      <c r="B13">
        <v>4</v>
      </c>
      <c r="C13">
        <v>12</v>
      </c>
      <c r="D13">
        <v>400</v>
      </c>
      <c r="E13" s="11">
        <f t="shared" si="1"/>
        <v>288.77123238850561</v>
      </c>
      <c r="F13" s="11">
        <f t="shared" si="2"/>
        <v>-9.4235361361510428</v>
      </c>
      <c r="G13" s="11">
        <f t="shared" si="3"/>
        <v>45.223124683448304</v>
      </c>
      <c r="H13" s="11">
        <f t="shared" si="4"/>
        <v>242.84370731417602</v>
      </c>
    </row>
    <row r="14" spans="1:8" x14ac:dyDescent="0.3">
      <c r="A14">
        <v>1997</v>
      </c>
      <c r="B14">
        <v>1</v>
      </c>
      <c r="C14">
        <v>13</v>
      </c>
      <c r="D14">
        <v>550</v>
      </c>
      <c r="E14" s="11">
        <f t="shared" si="1"/>
        <v>344.30395074341277</v>
      </c>
      <c r="F14" s="11">
        <f t="shared" si="2"/>
        <v>-2.9279106870452223</v>
      </c>
      <c r="G14" s="11">
        <f t="shared" si="3"/>
        <v>137.49198204097615</v>
      </c>
      <c r="H14" s="11">
        <f t="shared" si="4"/>
        <v>387.60936377235453</v>
      </c>
    </row>
    <row r="15" spans="1:8" x14ac:dyDescent="0.3">
      <c r="B15">
        <v>2</v>
      </c>
      <c r="C15">
        <v>14</v>
      </c>
      <c r="D15">
        <v>350</v>
      </c>
      <c r="E15" s="11">
        <f t="shared" si="1"/>
        <v>354.04458158134054</v>
      </c>
      <c r="F15" s="11">
        <f t="shared" si="2"/>
        <v>-1.6610565345479231</v>
      </c>
      <c r="G15" s="11">
        <f t="shared" si="3"/>
        <v>-17.346550182562165</v>
      </c>
      <c r="H15" s="11">
        <f t="shared" si="4"/>
        <v>318.32864618756759</v>
      </c>
    </row>
    <row r="16" spans="1:8" x14ac:dyDescent="0.3">
      <c r="B16">
        <v>3</v>
      </c>
      <c r="C16">
        <v>15</v>
      </c>
      <c r="D16">
        <v>250</v>
      </c>
      <c r="E16" s="11">
        <f t="shared" si="1"/>
        <v>358.06743940700676</v>
      </c>
      <c r="F16" s="11">
        <f t="shared" si="2"/>
        <v>-1.0926650985265087</v>
      </c>
      <c r="G16" s="11">
        <f t="shared" si="3"/>
        <v>-114.03554948523164</v>
      </c>
      <c r="H16" s="11">
        <f t="shared" si="4"/>
        <v>235.79021409946461</v>
      </c>
    </row>
    <row r="17" spans="1:8" x14ac:dyDescent="0.3">
      <c r="B17">
        <v>4</v>
      </c>
      <c r="C17">
        <v>16</v>
      </c>
      <c r="D17">
        <v>550</v>
      </c>
      <c r="E17" s="11">
        <f t="shared" si="1"/>
        <v>416.09561471170883</v>
      </c>
      <c r="F17" s="11">
        <f t="shared" si="2"/>
        <v>4.81941894179635</v>
      </c>
      <c r="G17" s="11">
        <f t="shared" si="3"/>
        <v>71.827502864901163</v>
      </c>
      <c r="H17" s="11">
        <f t="shared" si="4"/>
        <v>402.19789899192858</v>
      </c>
    </row>
    <row r="18" spans="1:8" x14ac:dyDescent="0.3">
      <c r="A18">
        <v>1998</v>
      </c>
      <c r="B18">
        <v>1</v>
      </c>
      <c r="C18">
        <v>17</v>
      </c>
      <c r="D18">
        <v>550</v>
      </c>
      <c r="E18" s="11">
        <f t="shared" si="1"/>
        <v>417.55222737571268</v>
      </c>
      <c r="F18" s="11">
        <f t="shared" si="2"/>
        <v>4.4831383140170988</v>
      </c>
      <c r="G18" s="11">
        <f t="shared" si="3"/>
        <v>135.97871921596948</v>
      </c>
      <c r="H18" s="11">
        <f t="shared" si="4"/>
        <v>558.40701569448129</v>
      </c>
    </row>
    <row r="19" spans="1:8" x14ac:dyDescent="0.3">
      <c r="B19">
        <v>2</v>
      </c>
      <c r="C19">
        <v>18</v>
      </c>
      <c r="D19">
        <v>400</v>
      </c>
      <c r="E19" s="11">
        <f t="shared" si="1"/>
        <v>420.15983948686272</v>
      </c>
      <c r="F19" s="11">
        <f t="shared" si="2"/>
        <v>4.295585693730394</v>
      </c>
      <c r="G19" s="11">
        <f t="shared" si="3"/>
        <v>-18.190536973852332</v>
      </c>
      <c r="H19" s="11">
        <f t="shared" si="4"/>
        <v>404.68881550716759</v>
      </c>
    </row>
    <row r="20" spans="1:8" x14ac:dyDescent="0.3">
      <c r="B20">
        <v>3</v>
      </c>
      <c r="C20">
        <v>19</v>
      </c>
      <c r="D20">
        <v>350</v>
      </c>
      <c r="E20" s="11">
        <f t="shared" si="1"/>
        <v>440.28747490244854</v>
      </c>
      <c r="F20" s="11">
        <f t="shared" si="2"/>
        <v>5.8787906659159361</v>
      </c>
      <c r="G20" s="11">
        <f t="shared" si="3"/>
        <v>-106.91112711039671</v>
      </c>
      <c r="H20" s="11">
        <f t="shared" si="4"/>
        <v>310.4198756953615</v>
      </c>
    </row>
    <row r="21" spans="1:8" x14ac:dyDescent="0.3">
      <c r="B21">
        <v>4</v>
      </c>
      <c r="C21">
        <v>20</v>
      </c>
      <c r="D21">
        <v>600</v>
      </c>
      <c r="E21" s="11">
        <f t="shared" si="1"/>
        <v>478.96875819505817</v>
      </c>
      <c r="F21" s="11">
        <f t="shared" si="2"/>
        <v>9.1590399285853064</v>
      </c>
      <c r="G21" s="11">
        <f t="shared" si="3"/>
        <v>86.588624546913366</v>
      </c>
      <c r="H21" s="11">
        <f t="shared" si="4"/>
        <v>517.99376843326559</v>
      </c>
    </row>
    <row r="22" spans="1:8" x14ac:dyDescent="0.3">
      <c r="A22">
        <v>1999</v>
      </c>
      <c r="B22">
        <v>1</v>
      </c>
      <c r="C22">
        <v>21</v>
      </c>
      <c r="D22">
        <v>750</v>
      </c>
      <c r="E22" s="11">
        <f t="shared" si="1"/>
        <v>538.48519118779825</v>
      </c>
      <c r="F22" s="11">
        <f t="shared" si="2"/>
        <v>14.194779235000784</v>
      </c>
      <c r="G22" s="11">
        <f t="shared" si="3"/>
        <v>158.63954609483915</v>
      </c>
      <c r="H22" s="11">
        <f t="shared" si="4"/>
        <v>624.10651733961299</v>
      </c>
    </row>
    <row r="23" spans="1:8" x14ac:dyDescent="0.3">
      <c r="B23">
        <v>2</v>
      </c>
      <c r="C23">
        <v>22</v>
      </c>
      <c r="D23">
        <v>500</v>
      </c>
      <c r="E23" s="11">
        <f t="shared" si="1"/>
        <v>538.8841970432203</v>
      </c>
      <c r="F23" s="11">
        <f t="shared" si="2"/>
        <v>12.815201897042909</v>
      </c>
      <c r="G23" s="11">
        <f t="shared" si="3"/>
        <v>-24.398634994662721</v>
      </c>
      <c r="H23" s="11">
        <f t="shared" si="4"/>
        <v>534.48943344894667</v>
      </c>
    </row>
    <row r="24" spans="1:8" x14ac:dyDescent="0.3">
      <c r="B24">
        <v>3</v>
      </c>
      <c r="C24">
        <v>23</v>
      </c>
      <c r="D24">
        <v>400</v>
      </c>
      <c r="E24" s="11">
        <f t="shared" si="1"/>
        <v>533.78409020831657</v>
      </c>
      <c r="F24" s="11">
        <f t="shared" si="2"/>
        <v>11.023671023848246</v>
      </c>
      <c r="G24" s="11">
        <f t="shared" si="3"/>
        <v>-114.97301603977266</v>
      </c>
      <c r="H24" s="11">
        <f t="shared" si="4"/>
        <v>444.78827182986652</v>
      </c>
    </row>
    <row r="25" spans="1:8" x14ac:dyDescent="0.3">
      <c r="B25">
        <v>4</v>
      </c>
      <c r="C25">
        <v>24</v>
      </c>
      <c r="D25">
        <v>650</v>
      </c>
      <c r="E25" s="11">
        <f t="shared" si="1"/>
        <v>552.24920692053354</v>
      </c>
      <c r="F25" s="11">
        <f t="shared" si="2"/>
        <v>11.767815592685118</v>
      </c>
      <c r="G25" s="11">
        <f t="shared" si="3"/>
        <v>89.937275106679294</v>
      </c>
      <c r="H25" s="11">
        <f t="shared" si="4"/>
        <v>631.39638577907817</v>
      </c>
    </row>
    <row r="26" spans="1:8" x14ac:dyDescent="0.3">
      <c r="A26">
        <v>2000</v>
      </c>
      <c r="B26">
        <v>1</v>
      </c>
      <c r="C26">
        <v>25</v>
      </c>
      <c r="D26">
        <v>850</v>
      </c>
      <c r="E26" s="11">
        <f t="shared" si="1"/>
        <v>614.9543950699956</v>
      </c>
      <c r="F26" s="11">
        <f t="shared" si="2"/>
        <v>16.861552848362813</v>
      </c>
      <c r="G26" s="11">
        <f t="shared" si="3"/>
        <v>181.56136374538872</v>
      </c>
      <c r="H26" s="11">
        <f t="shared" si="4"/>
        <v>722.6565686080578</v>
      </c>
    </row>
    <row r="27" spans="1:8" x14ac:dyDescent="0.3">
      <c r="B27">
        <v>2</v>
      </c>
      <c r="C27">
        <v>26</v>
      </c>
      <c r="D27">
        <v>600</v>
      </c>
      <c r="E27" s="11">
        <f t="shared" si="1"/>
        <v>628.8490227488802</v>
      </c>
      <c r="F27" s="11">
        <f t="shared" si="2"/>
        <v>16.564860331414991</v>
      </c>
      <c r="G27" s="11">
        <f t="shared" si="3"/>
        <v>-25.733751320927965</v>
      </c>
      <c r="H27" s="11">
        <f t="shared" si="4"/>
        <v>607.4173129236957</v>
      </c>
    </row>
    <row r="28" spans="1:8" x14ac:dyDescent="0.3">
      <c r="B28">
        <v>3</v>
      </c>
      <c r="C28">
        <v>27</v>
      </c>
      <c r="D28">
        <v>450</v>
      </c>
      <c r="E28" s="11">
        <f t="shared" si="1"/>
        <v>613.2375362640862</v>
      </c>
      <c r="F28" s="11">
        <f t="shared" si="2"/>
        <v>13.34722564979409</v>
      </c>
      <c r="G28" s="11">
        <f t="shared" si="3"/>
        <v>-129.45237210706671</v>
      </c>
      <c r="H28" s="11">
        <f t="shared" si="4"/>
        <v>530.44086704052245</v>
      </c>
    </row>
    <row r="29" spans="1:8" x14ac:dyDescent="0.3">
      <c r="B29">
        <v>4</v>
      </c>
      <c r="C29">
        <v>28</v>
      </c>
      <c r="D29">
        <v>700</v>
      </c>
      <c r="E29" s="11">
        <f t="shared" si="1"/>
        <v>619.97594710565636</v>
      </c>
      <c r="F29" s="11">
        <f t="shared" si="2"/>
        <v>12.686344168971697</v>
      </c>
      <c r="G29" s="11">
        <f t="shared" si="3"/>
        <v>86.963308442978587</v>
      </c>
      <c r="H29" s="11">
        <f t="shared" si="4"/>
        <v>716.52203702055954</v>
      </c>
    </row>
    <row r="30" spans="1:8" x14ac:dyDescent="0.3">
      <c r="A30">
        <v>2001</v>
      </c>
      <c r="B30">
        <v>1</v>
      </c>
      <c r="H30" s="11">
        <f t="shared" si="4"/>
        <v>814.22365502001674</v>
      </c>
    </row>
    <row r="31" spans="1:8" x14ac:dyDescent="0.3">
      <c r="B31">
        <v>2</v>
      </c>
      <c r="H31" s="11">
        <f>E29+2*F29+G27</f>
        <v>619.61488412267181</v>
      </c>
    </row>
    <row r="32" spans="1:8" x14ac:dyDescent="0.3">
      <c r="B32">
        <v>3</v>
      </c>
      <c r="H32" s="11">
        <f>E29+3*F29+G28</f>
        <v>528.58260750550471</v>
      </c>
    </row>
    <row r="33" spans="2:8" x14ac:dyDescent="0.3">
      <c r="B33">
        <v>4</v>
      </c>
      <c r="H33" s="11">
        <f>E29+4*F29+G29</f>
        <v>757.68463222452169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93FA-D95A-4B1A-BD15-7921276DA77A}">
  <dimension ref="A1:L22"/>
  <sheetViews>
    <sheetView workbookViewId="0">
      <selection activeCell="L11" sqref="L11"/>
    </sheetView>
  </sheetViews>
  <sheetFormatPr defaultRowHeight="14.4" x14ac:dyDescent="0.3"/>
  <sheetData>
    <row r="1" spans="1:12" x14ac:dyDescent="0.3">
      <c r="A1" s="12" t="s">
        <v>0</v>
      </c>
      <c r="B1" s="12" t="s">
        <v>26</v>
      </c>
      <c r="C1" s="12" t="s">
        <v>25</v>
      </c>
      <c r="D1" s="12" t="s">
        <v>27</v>
      </c>
      <c r="E1" s="12" t="s">
        <v>28</v>
      </c>
      <c r="F1" s="12" t="s">
        <v>35</v>
      </c>
      <c r="G1" s="12" t="s">
        <v>36</v>
      </c>
      <c r="H1" s="12" t="s">
        <v>37</v>
      </c>
      <c r="I1" s="12"/>
      <c r="J1" s="12"/>
    </row>
    <row r="2" spans="1:12" x14ac:dyDescent="0.3">
      <c r="A2">
        <v>2009</v>
      </c>
      <c r="B2">
        <v>2</v>
      </c>
      <c r="C2">
        <v>1</v>
      </c>
      <c r="D2">
        <f>B2*C2</f>
        <v>2</v>
      </c>
      <c r="E2">
        <f>C2^2</f>
        <v>1</v>
      </c>
      <c r="F2" s="11">
        <f>$L$12+$L$11*C2</f>
        <v>2.0454545454545459</v>
      </c>
      <c r="G2" s="11">
        <f>B2-F2</f>
        <v>-4.5454545454545858E-2</v>
      </c>
      <c r="H2" s="11">
        <f>C2-$C$14</f>
        <v>-5</v>
      </c>
      <c r="I2" s="11"/>
      <c r="J2" s="11"/>
    </row>
    <row r="3" spans="1:12" x14ac:dyDescent="0.3">
      <c r="A3">
        <v>2010</v>
      </c>
      <c r="B3">
        <v>3</v>
      </c>
      <c r="C3">
        <v>2</v>
      </c>
      <c r="D3">
        <f t="shared" ref="D3:D12" si="0">B3*C3</f>
        <v>6</v>
      </c>
      <c r="E3">
        <f t="shared" ref="E3:E12" si="1">C3^2</f>
        <v>4</v>
      </c>
      <c r="F3" s="11">
        <f t="shared" ref="F3:F12" si="2">$L$12+$L$11*C3</f>
        <v>3.6909090909090914</v>
      </c>
      <c r="G3" s="11">
        <f t="shared" ref="G3:G12" si="3">B3-F3</f>
        <v>-0.69090909090909136</v>
      </c>
      <c r="H3" s="11">
        <f t="shared" ref="H3:H12" si="4">C3-$C$14</f>
        <v>-4</v>
      </c>
      <c r="I3" s="11"/>
      <c r="J3" s="11"/>
    </row>
    <row r="4" spans="1:12" x14ac:dyDescent="0.3">
      <c r="A4">
        <v>2011</v>
      </c>
      <c r="B4">
        <v>6</v>
      </c>
      <c r="C4">
        <v>3</v>
      </c>
      <c r="D4">
        <f t="shared" si="0"/>
        <v>18</v>
      </c>
      <c r="E4">
        <f t="shared" si="1"/>
        <v>9</v>
      </c>
      <c r="F4" s="11">
        <f t="shared" si="2"/>
        <v>5.3363636363636369</v>
      </c>
      <c r="G4" s="11">
        <f t="shared" si="3"/>
        <v>0.66363636363636314</v>
      </c>
      <c r="H4" s="11">
        <f t="shared" si="4"/>
        <v>-3</v>
      </c>
      <c r="I4" s="11"/>
      <c r="J4" s="11"/>
    </row>
    <row r="5" spans="1:12" x14ac:dyDescent="0.3">
      <c r="A5">
        <v>2012</v>
      </c>
      <c r="B5">
        <v>10</v>
      </c>
      <c r="C5">
        <v>4</v>
      </c>
      <c r="D5">
        <f t="shared" si="0"/>
        <v>40</v>
      </c>
      <c r="E5">
        <f t="shared" si="1"/>
        <v>16</v>
      </c>
      <c r="F5" s="11">
        <f t="shared" si="2"/>
        <v>6.9818181818181824</v>
      </c>
      <c r="G5" s="11">
        <f t="shared" si="3"/>
        <v>3.0181818181818176</v>
      </c>
      <c r="H5" s="11">
        <f t="shared" si="4"/>
        <v>-2</v>
      </c>
      <c r="I5" s="11"/>
      <c r="J5" s="11"/>
    </row>
    <row r="6" spans="1:12" x14ac:dyDescent="0.3">
      <c r="A6">
        <v>2013</v>
      </c>
      <c r="B6">
        <v>8</v>
      </c>
      <c r="C6">
        <v>5</v>
      </c>
      <c r="D6">
        <f t="shared" si="0"/>
        <v>40</v>
      </c>
      <c r="E6">
        <f t="shared" si="1"/>
        <v>25</v>
      </c>
      <c r="F6" s="11">
        <f t="shared" si="2"/>
        <v>8.627272727272727</v>
      </c>
      <c r="G6" s="11">
        <f t="shared" si="3"/>
        <v>-0.62727272727272698</v>
      </c>
      <c r="H6" s="11">
        <f t="shared" si="4"/>
        <v>-1</v>
      </c>
      <c r="I6" s="11"/>
      <c r="J6" s="11"/>
    </row>
    <row r="7" spans="1:12" x14ac:dyDescent="0.3">
      <c r="A7">
        <v>2014</v>
      </c>
      <c r="B7">
        <v>7</v>
      </c>
      <c r="C7">
        <v>6</v>
      </c>
      <c r="D7">
        <f t="shared" si="0"/>
        <v>42</v>
      </c>
      <c r="E7">
        <f t="shared" si="1"/>
        <v>36</v>
      </c>
      <c r="F7" s="11">
        <f t="shared" si="2"/>
        <v>10.272727272727273</v>
      </c>
      <c r="G7" s="11">
        <f t="shared" si="3"/>
        <v>-3.2727272727272734</v>
      </c>
      <c r="H7" s="11">
        <f t="shared" si="4"/>
        <v>0</v>
      </c>
      <c r="I7" s="11"/>
      <c r="J7" s="11"/>
    </row>
    <row r="8" spans="1:12" x14ac:dyDescent="0.3">
      <c r="A8">
        <v>2015</v>
      </c>
      <c r="B8">
        <v>12</v>
      </c>
      <c r="C8">
        <v>7</v>
      </c>
      <c r="D8">
        <f t="shared" si="0"/>
        <v>84</v>
      </c>
      <c r="E8">
        <f t="shared" si="1"/>
        <v>49</v>
      </c>
      <c r="F8" s="11">
        <f t="shared" si="2"/>
        <v>11.91818181818182</v>
      </c>
      <c r="G8" s="11">
        <f t="shared" si="3"/>
        <v>8.1818181818180236E-2</v>
      </c>
      <c r="H8" s="11">
        <f t="shared" si="4"/>
        <v>1</v>
      </c>
      <c r="I8" s="11"/>
      <c r="J8" s="11"/>
    </row>
    <row r="9" spans="1:12" x14ac:dyDescent="0.3">
      <c r="A9">
        <v>2016</v>
      </c>
      <c r="B9">
        <v>14</v>
      </c>
      <c r="C9">
        <v>8</v>
      </c>
      <c r="D9">
        <f t="shared" si="0"/>
        <v>112</v>
      </c>
      <c r="E9">
        <f t="shared" si="1"/>
        <v>64</v>
      </c>
      <c r="F9" s="11">
        <f t="shared" si="2"/>
        <v>13.563636363636364</v>
      </c>
      <c r="G9" s="11">
        <f t="shared" si="3"/>
        <v>0.43636363636363562</v>
      </c>
      <c r="H9" s="11">
        <f t="shared" si="4"/>
        <v>2</v>
      </c>
      <c r="I9" s="11"/>
      <c r="J9" s="11"/>
    </row>
    <row r="10" spans="1:12" ht="15" thickBot="1" x14ac:dyDescent="0.35">
      <c r="A10">
        <v>2017</v>
      </c>
      <c r="B10">
        <v>14</v>
      </c>
      <c r="C10">
        <v>9</v>
      </c>
      <c r="D10">
        <f t="shared" si="0"/>
        <v>126</v>
      </c>
      <c r="E10">
        <f t="shared" si="1"/>
        <v>81</v>
      </c>
      <c r="F10" s="11">
        <f t="shared" si="2"/>
        <v>15.209090909090909</v>
      </c>
      <c r="G10" s="11">
        <f t="shared" si="3"/>
        <v>-1.209090909090909</v>
      </c>
      <c r="H10" s="11">
        <f t="shared" si="4"/>
        <v>3</v>
      </c>
      <c r="I10" s="11"/>
      <c r="J10" s="11"/>
    </row>
    <row r="11" spans="1:12" x14ac:dyDescent="0.3">
      <c r="A11">
        <v>2018</v>
      </c>
      <c r="B11">
        <v>18</v>
      </c>
      <c r="C11">
        <v>10</v>
      </c>
      <c r="D11">
        <f t="shared" si="0"/>
        <v>180</v>
      </c>
      <c r="E11">
        <f t="shared" si="1"/>
        <v>100</v>
      </c>
      <c r="F11" s="11">
        <f t="shared" si="2"/>
        <v>16.854545454545452</v>
      </c>
      <c r="G11" s="11">
        <f t="shared" si="3"/>
        <v>1.1454545454545482</v>
      </c>
      <c r="H11" s="11">
        <f t="shared" si="4"/>
        <v>4</v>
      </c>
      <c r="I11" s="11"/>
      <c r="J11" s="11"/>
      <c r="K11" s="26" t="s">
        <v>29</v>
      </c>
      <c r="L11" s="27">
        <f>(D13-11*C14*B14)/(E13-11*C14*C14)</f>
        <v>1.6454545454545455</v>
      </c>
    </row>
    <row r="12" spans="1:12" ht="15" thickBot="1" x14ac:dyDescent="0.35">
      <c r="A12">
        <v>2019</v>
      </c>
      <c r="B12">
        <v>19</v>
      </c>
      <c r="C12">
        <v>11</v>
      </c>
      <c r="D12">
        <f t="shared" si="0"/>
        <v>209</v>
      </c>
      <c r="E12">
        <f t="shared" si="1"/>
        <v>121</v>
      </c>
      <c r="F12" s="11">
        <f t="shared" si="2"/>
        <v>18.5</v>
      </c>
      <c r="G12" s="11">
        <f t="shared" si="3"/>
        <v>0.5</v>
      </c>
      <c r="H12" s="11">
        <f t="shared" si="4"/>
        <v>5</v>
      </c>
      <c r="I12" s="11"/>
      <c r="J12" s="11"/>
      <c r="K12" s="28" t="s">
        <v>30</v>
      </c>
      <c r="L12" s="29">
        <f>B14-L11*C14</f>
        <v>0.40000000000000036</v>
      </c>
    </row>
    <row r="13" spans="1:12" x14ac:dyDescent="0.3">
      <c r="A13" s="12" t="s">
        <v>18</v>
      </c>
      <c r="B13">
        <f>SUM(B2:B12)</f>
        <v>113</v>
      </c>
      <c r="C13">
        <f t="shared" ref="C13:E13" si="5">SUM(C2:C12)</f>
        <v>66</v>
      </c>
      <c r="D13">
        <f t="shared" si="5"/>
        <v>859</v>
      </c>
      <c r="E13">
        <f t="shared" si="5"/>
        <v>506</v>
      </c>
      <c r="G13" s="11">
        <f>SUMSQ(G2:G12)</f>
        <v>24.354545454545459</v>
      </c>
      <c r="H13" s="11">
        <f>SUMSQ(H2:H12)</f>
        <v>110</v>
      </c>
    </row>
    <row r="14" spans="1:12" x14ac:dyDescent="0.3">
      <c r="A14" s="12" t="s">
        <v>19</v>
      </c>
      <c r="B14" s="11">
        <f>AVERAGE(B2:B12)</f>
        <v>10.272727272727273</v>
      </c>
      <c r="C14" s="11">
        <f t="shared" ref="C14:E14" si="6">AVERAGE(C2:C12)</f>
        <v>6</v>
      </c>
      <c r="D14" s="11">
        <f t="shared" si="6"/>
        <v>78.090909090909093</v>
      </c>
      <c r="E14" s="11">
        <f t="shared" si="6"/>
        <v>46</v>
      </c>
      <c r="F14" s="11"/>
      <c r="G14" s="11"/>
    </row>
    <row r="15" spans="1:12" x14ac:dyDescent="0.3">
      <c r="K15" t="s">
        <v>31</v>
      </c>
      <c r="L15">
        <f>CORREL(C2:C12,B2:B12)</f>
        <v>0.96146110124639572</v>
      </c>
    </row>
    <row r="16" spans="1:12" x14ac:dyDescent="0.3">
      <c r="K16" t="s">
        <v>32</v>
      </c>
      <c r="L16">
        <f>RSQ(B2:B12,C2:C12)</f>
        <v>0.92440744920993223</v>
      </c>
    </row>
    <row r="18" spans="11:12" x14ac:dyDescent="0.3">
      <c r="K18" t="s">
        <v>33</v>
      </c>
    </row>
    <row r="19" spans="11:12" x14ac:dyDescent="0.3">
      <c r="K19" t="s">
        <v>34</v>
      </c>
      <c r="L19" s="25">
        <f>SQRT((SUMSQ(G2:G12)/9)/(SUMSQ(H2:H12)))</f>
        <v>0.15684562781342468</v>
      </c>
    </row>
    <row r="20" spans="11:12" x14ac:dyDescent="0.3">
      <c r="K20" t="s">
        <v>8</v>
      </c>
      <c r="L20" s="25">
        <f>L11/L19</f>
        <v>10.49091752440745</v>
      </c>
    </row>
    <row r="21" spans="11:12" x14ac:dyDescent="0.3">
      <c r="K21" t="s">
        <v>38</v>
      </c>
      <c r="L21" s="25">
        <f>_xlfn.T.INV.2T(0.05,9)</f>
        <v>2.2621571627982053</v>
      </c>
    </row>
    <row r="22" spans="11:12" x14ac:dyDescent="0.3">
      <c r="K22" t="s">
        <v>39</v>
      </c>
      <c r="L22" s="25">
        <f>SQRT(SUMSQ(G2:G12)/9)*SQRT(1+1/11+(12-C14)^2/SUMSQ(H2:H12))</f>
        <v>1.959001263504754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F2A9-5965-4973-9A7A-34D2EF115EDD}">
  <dimension ref="A1"/>
  <sheetViews>
    <sheetView workbookViewId="0">
      <selection activeCell="F19" sqref="F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4037-65E2-48D5-9053-8D34F0BB8BB1}">
  <dimension ref="A1:J15"/>
  <sheetViews>
    <sheetView workbookViewId="0">
      <selection activeCell="G15" sqref="G15"/>
    </sheetView>
  </sheetViews>
  <sheetFormatPr defaultRowHeight="14.4" x14ac:dyDescent="0.3"/>
  <cols>
    <col min="2" max="2" width="10.88671875" bestFit="1" customWidth="1"/>
    <col min="3" max="3" width="8.5546875" bestFit="1" customWidth="1"/>
    <col min="4" max="4" width="11.5546875" bestFit="1" customWidth="1"/>
    <col min="5" max="5" width="14.33203125" bestFit="1" customWidth="1"/>
    <col min="6" max="6" width="10.5546875" bestFit="1" customWidth="1"/>
  </cols>
  <sheetData>
    <row r="1" spans="1:10" x14ac:dyDescent="0.3">
      <c r="A1" s="12" t="s">
        <v>2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  <c r="H1" s="12" t="s">
        <v>46</v>
      </c>
      <c r="I1" s="12" t="s">
        <v>47</v>
      </c>
      <c r="J1" s="12" t="s">
        <v>48</v>
      </c>
    </row>
    <row r="2" spans="1:10" x14ac:dyDescent="0.3">
      <c r="A2">
        <v>1</v>
      </c>
      <c r="B2">
        <v>106</v>
      </c>
      <c r="C2">
        <f>B2-$B$15</f>
        <v>-3.5</v>
      </c>
      <c r="F2">
        <f>C2^2</f>
        <v>12.25</v>
      </c>
    </row>
    <row r="3" spans="1:10" x14ac:dyDescent="0.3">
      <c r="A3">
        <v>2</v>
      </c>
      <c r="B3">
        <v>110</v>
      </c>
      <c r="C3">
        <f t="shared" ref="C3:C13" si="0">B3-$B$15</f>
        <v>0.5</v>
      </c>
      <c r="D3">
        <f>C2</f>
        <v>-3.5</v>
      </c>
      <c r="E3">
        <f>C3*D3</f>
        <v>-1.75</v>
      </c>
      <c r="F3">
        <f t="shared" ref="F3:F13" si="1">C3^2</f>
        <v>0.25</v>
      </c>
      <c r="H3" s="30">
        <f>$B$15+$G$15*C2</f>
        <v>112.08155432957544</v>
      </c>
      <c r="I3" s="30">
        <f>B3-H3</f>
        <v>-2.0815543295754395</v>
      </c>
      <c r="J3" s="11">
        <f>I3*I3</f>
        <v>4.3328684269742572</v>
      </c>
    </row>
    <row r="4" spans="1:10" x14ac:dyDescent="0.3">
      <c r="A4">
        <v>3</v>
      </c>
      <c r="B4">
        <v>118</v>
      </c>
      <c r="C4">
        <f t="shared" si="0"/>
        <v>8.5</v>
      </c>
      <c r="D4">
        <f t="shared" ref="D4:D13" si="2">C3</f>
        <v>0.5</v>
      </c>
      <c r="E4">
        <f t="shared" ref="E4:E13" si="3">C4*D4</f>
        <v>4.25</v>
      </c>
      <c r="F4">
        <f t="shared" si="1"/>
        <v>72.25</v>
      </c>
      <c r="H4" s="30">
        <f t="shared" ref="H4:H13" si="4">$B$15+$G$15*C3</f>
        <v>109.13120652434637</v>
      </c>
      <c r="I4" s="30">
        <f t="shared" ref="I4:I13" si="5">B4-H4</f>
        <v>8.8687934756536322</v>
      </c>
      <c r="J4" s="11">
        <f t="shared" ref="J4:J13" si="6">I4*I4</f>
        <v>78.655497713796436</v>
      </c>
    </row>
    <row r="5" spans="1:10" x14ac:dyDescent="0.3">
      <c r="A5">
        <v>4</v>
      </c>
      <c r="B5">
        <v>105</v>
      </c>
      <c r="C5">
        <f t="shared" si="0"/>
        <v>-4.5</v>
      </c>
      <c r="D5">
        <f t="shared" si="2"/>
        <v>8.5</v>
      </c>
      <c r="E5">
        <f t="shared" si="3"/>
        <v>-38.25</v>
      </c>
      <c r="F5">
        <f t="shared" si="1"/>
        <v>20.25</v>
      </c>
      <c r="H5" s="30">
        <f t="shared" si="4"/>
        <v>103.23051091388822</v>
      </c>
      <c r="I5" s="30">
        <f t="shared" si="5"/>
        <v>1.7694890861117756</v>
      </c>
      <c r="J5" s="11">
        <f t="shared" si="6"/>
        <v>3.1310916258686867</v>
      </c>
    </row>
    <row r="6" spans="1:10" x14ac:dyDescent="0.3">
      <c r="A6">
        <v>5</v>
      </c>
      <c r="B6">
        <v>115</v>
      </c>
      <c r="C6">
        <f t="shared" si="0"/>
        <v>5.5</v>
      </c>
      <c r="D6">
        <f t="shared" si="2"/>
        <v>-4.5</v>
      </c>
      <c r="E6">
        <f t="shared" si="3"/>
        <v>-24.75</v>
      </c>
      <c r="F6">
        <f t="shared" si="1"/>
        <v>30.25</v>
      </c>
      <c r="H6" s="30">
        <f t="shared" si="4"/>
        <v>112.8191412808827</v>
      </c>
      <c r="I6" s="30">
        <f t="shared" si="5"/>
        <v>2.1808587191172961</v>
      </c>
      <c r="J6" s="11">
        <f t="shared" si="6"/>
        <v>4.7561447527499334</v>
      </c>
    </row>
    <row r="7" spans="1:10" x14ac:dyDescent="0.3">
      <c r="A7">
        <v>6</v>
      </c>
      <c r="B7">
        <v>100</v>
      </c>
      <c r="C7">
        <f t="shared" si="0"/>
        <v>-9.5</v>
      </c>
      <c r="D7">
        <f t="shared" si="2"/>
        <v>5.5</v>
      </c>
      <c r="E7">
        <f t="shared" si="3"/>
        <v>-52.25</v>
      </c>
      <c r="F7">
        <f t="shared" si="1"/>
        <v>90.25</v>
      </c>
      <c r="H7" s="30">
        <f t="shared" si="4"/>
        <v>105.44327176781003</v>
      </c>
      <c r="I7" s="30">
        <f t="shared" si="5"/>
        <v>-5.4432717678100317</v>
      </c>
      <c r="J7" s="11">
        <f t="shared" si="6"/>
        <v>29.629207538237747</v>
      </c>
    </row>
    <row r="8" spans="1:10" x14ac:dyDescent="0.3">
      <c r="A8">
        <v>7</v>
      </c>
      <c r="B8">
        <v>112</v>
      </c>
      <c r="C8">
        <f t="shared" si="0"/>
        <v>2.5</v>
      </c>
      <c r="D8">
        <f t="shared" si="2"/>
        <v>-9.5</v>
      </c>
      <c r="E8">
        <f t="shared" si="3"/>
        <v>-23.75</v>
      </c>
      <c r="F8">
        <f t="shared" si="1"/>
        <v>6.25</v>
      </c>
      <c r="H8" s="30">
        <f t="shared" si="4"/>
        <v>116.50707603741904</v>
      </c>
      <c r="I8" s="30">
        <f t="shared" si="5"/>
        <v>-4.5070760374190399</v>
      </c>
      <c r="J8" s="11">
        <f t="shared" si="6"/>
        <v>20.313734407076915</v>
      </c>
    </row>
    <row r="9" spans="1:10" x14ac:dyDescent="0.3">
      <c r="A9">
        <v>8</v>
      </c>
      <c r="B9">
        <v>106</v>
      </c>
      <c r="C9">
        <f t="shared" si="0"/>
        <v>-3.5</v>
      </c>
      <c r="D9">
        <f t="shared" si="2"/>
        <v>2.5</v>
      </c>
      <c r="E9">
        <f t="shared" si="3"/>
        <v>-8.75</v>
      </c>
      <c r="F9">
        <f t="shared" si="1"/>
        <v>12.25</v>
      </c>
      <c r="H9" s="30">
        <f t="shared" si="4"/>
        <v>107.65603262173182</v>
      </c>
      <c r="I9" s="30">
        <f t="shared" si="5"/>
        <v>-1.6560326217318249</v>
      </c>
      <c r="J9" s="11">
        <f t="shared" si="6"/>
        <v>2.7424440442399813</v>
      </c>
    </row>
    <row r="10" spans="1:10" x14ac:dyDescent="0.3">
      <c r="A10">
        <v>9</v>
      </c>
      <c r="B10">
        <v>118</v>
      </c>
      <c r="C10">
        <f t="shared" si="0"/>
        <v>8.5</v>
      </c>
      <c r="D10">
        <f t="shared" si="2"/>
        <v>-3.5</v>
      </c>
      <c r="E10">
        <f t="shared" si="3"/>
        <v>-29.75</v>
      </c>
      <c r="F10">
        <f t="shared" si="1"/>
        <v>72.25</v>
      </c>
      <c r="H10" s="30">
        <f t="shared" si="4"/>
        <v>112.08155432957544</v>
      </c>
      <c r="I10" s="30">
        <f t="shared" si="5"/>
        <v>5.9184456704245605</v>
      </c>
      <c r="J10" s="11">
        <f t="shared" si="6"/>
        <v>35.027999153767226</v>
      </c>
    </row>
    <row r="11" spans="1:10" x14ac:dyDescent="0.3">
      <c r="A11">
        <v>10</v>
      </c>
      <c r="B11">
        <v>102</v>
      </c>
      <c r="C11">
        <f t="shared" si="0"/>
        <v>-7.5</v>
      </c>
      <c r="D11">
        <f t="shared" si="2"/>
        <v>8.5</v>
      </c>
      <c r="E11">
        <f t="shared" si="3"/>
        <v>-63.75</v>
      </c>
      <c r="F11">
        <f t="shared" si="1"/>
        <v>56.25</v>
      </c>
      <c r="H11" s="30">
        <f t="shared" si="4"/>
        <v>103.23051091388822</v>
      </c>
      <c r="I11" s="30">
        <f t="shared" si="5"/>
        <v>-1.2305109138882244</v>
      </c>
      <c r="J11" s="11">
        <f t="shared" si="6"/>
        <v>1.5141571091980333</v>
      </c>
    </row>
    <row r="12" spans="1:10" x14ac:dyDescent="0.3">
      <c r="A12">
        <v>11</v>
      </c>
      <c r="B12">
        <v>112</v>
      </c>
      <c r="C12">
        <f t="shared" si="0"/>
        <v>2.5</v>
      </c>
      <c r="D12">
        <f t="shared" si="2"/>
        <v>-7.5</v>
      </c>
      <c r="E12">
        <f t="shared" si="3"/>
        <v>-18.75</v>
      </c>
      <c r="F12">
        <f t="shared" si="1"/>
        <v>6.25</v>
      </c>
      <c r="H12" s="30">
        <f t="shared" si="4"/>
        <v>115.03190213480451</v>
      </c>
      <c r="I12" s="30">
        <f t="shared" si="5"/>
        <v>-3.0319021348045112</v>
      </c>
      <c r="J12" s="11">
        <f t="shared" si="6"/>
        <v>9.1924305550321517</v>
      </c>
    </row>
    <row r="13" spans="1:10" x14ac:dyDescent="0.3">
      <c r="A13">
        <v>12</v>
      </c>
      <c r="B13">
        <v>110</v>
      </c>
      <c r="C13">
        <f t="shared" si="0"/>
        <v>0.5</v>
      </c>
      <c r="D13">
        <f t="shared" si="2"/>
        <v>2.5</v>
      </c>
      <c r="E13">
        <f t="shared" si="3"/>
        <v>1.25</v>
      </c>
      <c r="F13">
        <f t="shared" si="1"/>
        <v>0.25</v>
      </c>
      <c r="H13" s="30">
        <f t="shared" si="4"/>
        <v>107.65603262173182</v>
      </c>
      <c r="I13" s="30">
        <f t="shared" si="5"/>
        <v>2.3439673782681751</v>
      </c>
      <c r="J13" s="11">
        <f t="shared" si="6"/>
        <v>5.4941830703853825</v>
      </c>
    </row>
    <row r="14" spans="1:10" x14ac:dyDescent="0.3">
      <c r="A14" s="12" t="s">
        <v>18</v>
      </c>
      <c r="B14">
        <f>SUM(B2:B13)</f>
        <v>1314</v>
      </c>
      <c r="E14" s="11">
        <f>SUM(E2:E13)</f>
        <v>-256.25</v>
      </c>
      <c r="F14" s="11">
        <f>SUM(F2:F13)</f>
        <v>379</v>
      </c>
      <c r="J14" s="11">
        <f>SUM(J2:J13)</f>
        <v>194.78975839732678</v>
      </c>
    </row>
    <row r="15" spans="1:10" x14ac:dyDescent="0.3">
      <c r="A15" s="12" t="s">
        <v>19</v>
      </c>
      <c r="B15">
        <f>AVERAGE(B2:B13)</f>
        <v>109.5</v>
      </c>
      <c r="E15" s="11">
        <f>AVERAGE(E2:E13)</f>
        <v>-23.295454545454547</v>
      </c>
      <c r="F15" s="11">
        <f>AVERAGE(F2:F13)</f>
        <v>31.583333333333332</v>
      </c>
      <c r="G15">
        <f>E15/F15</f>
        <v>-0.73758695130726804</v>
      </c>
      <c r="J15" s="11">
        <f>AVERAGE(J2:J13)</f>
        <v>17.708159854302433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A536-B87D-410D-8331-056EAADB043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4D1AE54BE0143B7E4BAD3CBEE228A" ma:contentTypeVersion="7" ma:contentTypeDescription="Create a new document." ma:contentTypeScope="" ma:versionID="4e6e3fa33fc4dc505574ceccff294f56">
  <xsd:schema xmlns:xsd="http://www.w3.org/2001/XMLSchema" xmlns:xs="http://www.w3.org/2001/XMLSchema" xmlns:p="http://schemas.microsoft.com/office/2006/metadata/properties" xmlns:ns3="d8f95a28-9b7f-4840-bd2f-68c52ec708cf" targetNamespace="http://schemas.microsoft.com/office/2006/metadata/properties" ma:root="true" ma:fieldsID="aeae0b50bb977efe2f099976042b27ee" ns3:_="">
    <xsd:import namespace="d8f95a28-9b7f-4840-bd2f-68c52ec708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95a28-9b7f-4840-bd2f-68c52ec70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AD132C-7604-444B-A0B9-48994BA55DA4}">
  <ds:schemaRefs>
    <ds:schemaRef ds:uri="d8f95a28-9b7f-4840-bd2f-68c52ec708cf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36F52C-DC62-4468-9EAE-AA52E5B302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0E8957-DAD7-46E5-A16C-A63A4BD8F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f95a28-9b7f-4840-bd2f-68c52ec708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Random</vt:lpstr>
      <vt:lpstr>Sheet2</vt:lpstr>
      <vt:lpstr>Sheet3</vt:lpstr>
      <vt:lpstr>Winter</vt:lpstr>
      <vt:lpstr>Additive Seasonality</vt:lpstr>
      <vt:lpstr>Regression Analysis</vt:lpstr>
      <vt:lpstr>Sheet7</vt:lpstr>
      <vt:lpstr>AutoReg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aarad</dc:creator>
  <cp:lastModifiedBy>aarad</cp:lastModifiedBy>
  <dcterms:created xsi:type="dcterms:W3CDTF">2021-11-09T09:15:40Z</dcterms:created>
  <dcterms:modified xsi:type="dcterms:W3CDTF">2021-11-23T20:26:00Z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0x0101005BF4D1AE54BE0143B7E4BAD3CBEE228A</vt:lpwstr>
  </property>
</Properties>
</file>