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ad\OneDrive\Desktop\"/>
    </mc:Choice>
  </mc:AlternateContent>
  <xr:revisionPtr revIDLastSave="0" documentId="13_ncr:1_{9AA9B9B5-24B5-4842-A812-A2B289256951}" xr6:coauthVersionLast="47" xr6:coauthVersionMax="47" xr10:uidLastSave="{00000000-0000-0000-0000-000000000000}"/>
  <bookViews>
    <workbookView xWindow="-108" yWindow="-108" windowWidth="23256" windowHeight="12456" activeTab="6" xr2:uid="{D4FB0223-7E2E-49E3-9400-71AC11741B0F}"/>
  </bookViews>
  <sheets>
    <sheet name="1_Winter" sheetId="6" r:id="rId1"/>
    <sheet name="2_Part A&amp;B" sheetId="7" r:id="rId2"/>
    <sheet name="3_Harmonic Reg" sheetId="8" r:id="rId3"/>
    <sheet name="7_SPT" sheetId="1" r:id="rId4"/>
    <sheet name="7_EDD" sheetId="2" r:id="rId5"/>
    <sheet name="7_FCFS" sheetId="3" r:id="rId6"/>
    <sheet name="7_Crtical_Ratio" sheetId="4" r:id="rId7"/>
    <sheet name="Sheet9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" i="8" l="1"/>
  <c r="F36" i="8"/>
  <c r="E36" i="8"/>
  <c r="D36" i="8"/>
  <c r="G35" i="8"/>
  <c r="F35" i="8"/>
  <c r="E35" i="8"/>
  <c r="D35" i="8"/>
  <c r="G34" i="8"/>
  <c r="F34" i="8"/>
  <c r="E34" i="8"/>
  <c r="D34" i="8"/>
  <c r="G33" i="8"/>
  <c r="F33" i="8"/>
  <c r="E33" i="8"/>
  <c r="D33" i="8"/>
  <c r="G32" i="8"/>
  <c r="F32" i="8"/>
  <c r="E32" i="8"/>
  <c r="D32" i="8"/>
  <c r="G28" i="8"/>
  <c r="F28" i="8"/>
  <c r="E28" i="8"/>
  <c r="D28" i="8"/>
  <c r="G27" i="8"/>
  <c r="F27" i="8"/>
  <c r="E27" i="8"/>
  <c r="D27" i="8"/>
  <c r="G26" i="8"/>
  <c r="F26" i="8"/>
  <c r="E26" i="8"/>
  <c r="D26" i="8"/>
  <c r="G25" i="8"/>
  <c r="F25" i="8"/>
  <c r="E25" i="8"/>
  <c r="D25" i="8"/>
  <c r="G24" i="8"/>
  <c r="F24" i="8"/>
  <c r="E24" i="8"/>
  <c r="D24" i="8"/>
  <c r="G23" i="8"/>
  <c r="F23" i="8"/>
  <c r="E23" i="8"/>
  <c r="D23" i="8"/>
  <c r="G22" i="8"/>
  <c r="F22" i="8"/>
  <c r="E22" i="8"/>
  <c r="D22" i="8"/>
  <c r="G21" i="8"/>
  <c r="F21" i="8"/>
  <c r="E21" i="8"/>
  <c r="D21" i="8"/>
  <c r="G20" i="8"/>
  <c r="F20" i="8"/>
  <c r="E20" i="8"/>
  <c r="D20" i="8"/>
  <c r="G19" i="8"/>
  <c r="F19" i="8"/>
  <c r="E19" i="8"/>
  <c r="D19" i="8"/>
  <c r="G18" i="8"/>
  <c r="F18" i="8"/>
  <c r="E18" i="8"/>
  <c r="D18" i="8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21" i="7"/>
  <c r="F21" i="7"/>
  <c r="E21" i="7"/>
  <c r="D21" i="7"/>
  <c r="G20" i="7"/>
  <c r="F20" i="7"/>
  <c r="E20" i="7"/>
  <c r="D20" i="7"/>
  <c r="G19" i="7"/>
  <c r="F19" i="7"/>
  <c r="E19" i="7"/>
  <c r="D19" i="7"/>
  <c r="G18" i="7"/>
  <c r="F18" i="7"/>
  <c r="E18" i="7"/>
  <c r="D18" i="7"/>
  <c r="G15" i="7"/>
  <c r="F15" i="7"/>
  <c r="E15" i="7"/>
  <c r="D15" i="7"/>
  <c r="G14" i="7"/>
  <c r="F14" i="7"/>
  <c r="E14" i="7"/>
  <c r="D14" i="7"/>
  <c r="G13" i="7"/>
  <c r="F13" i="7"/>
  <c r="E13" i="7"/>
  <c r="D13" i="7"/>
  <c r="G12" i="7"/>
  <c r="F12" i="7"/>
  <c r="E12" i="7"/>
  <c r="D12" i="7"/>
  <c r="G11" i="7"/>
  <c r="F11" i="7"/>
  <c r="E11" i="7"/>
  <c r="D11" i="7"/>
  <c r="G10" i="7"/>
  <c r="F10" i="7"/>
  <c r="E10" i="7"/>
  <c r="D10" i="7"/>
  <c r="G9" i="7"/>
  <c r="F9" i="7"/>
  <c r="E9" i="7"/>
  <c r="D9" i="7"/>
  <c r="G8" i="7"/>
  <c r="F8" i="7"/>
  <c r="E8" i="7"/>
  <c r="D8" i="7"/>
  <c r="G7" i="7"/>
  <c r="F7" i="7"/>
  <c r="E7" i="7"/>
  <c r="D7" i="7"/>
  <c r="G6" i="7"/>
  <c r="F6" i="7"/>
  <c r="E6" i="7"/>
  <c r="D6" i="7"/>
  <c r="G5" i="7"/>
  <c r="F5" i="7"/>
  <c r="E5" i="7"/>
  <c r="D5" i="7"/>
  <c r="G4" i="7"/>
  <c r="F4" i="7"/>
  <c r="E4" i="7"/>
  <c r="D4" i="7"/>
  <c r="D7" i="6"/>
  <c r="C7" i="6"/>
  <c r="E6" i="6" s="1"/>
  <c r="H33" i="8" l="1"/>
  <c r="H35" i="8"/>
  <c r="H32" i="8"/>
  <c r="H34" i="8"/>
  <c r="H36" i="8"/>
  <c r="H5" i="8"/>
  <c r="I5" i="8" s="1"/>
  <c r="H7" i="8"/>
  <c r="I7" i="8" s="1"/>
  <c r="H4" i="8"/>
  <c r="I4" i="8" s="1"/>
  <c r="H8" i="8"/>
  <c r="I8" i="8" s="1"/>
  <c r="H12" i="8"/>
  <c r="I12" i="8" s="1"/>
  <c r="H16" i="8"/>
  <c r="I16" i="8" s="1"/>
  <c r="H20" i="8"/>
  <c r="I20" i="8" s="1"/>
  <c r="H24" i="8"/>
  <c r="I24" i="8" s="1"/>
  <c r="H28" i="8"/>
  <c r="I28" i="8" s="1"/>
  <c r="H6" i="8"/>
  <c r="I6" i="8" s="1"/>
  <c r="H10" i="8"/>
  <c r="I10" i="8" s="1"/>
  <c r="H14" i="8"/>
  <c r="I14" i="8" s="1"/>
  <c r="H18" i="8"/>
  <c r="I18" i="8" s="1"/>
  <c r="H22" i="8"/>
  <c r="I22" i="8" s="1"/>
  <c r="H26" i="8"/>
  <c r="I26" i="8" s="1"/>
  <c r="H9" i="8"/>
  <c r="I9" i="8" s="1"/>
  <c r="H11" i="8"/>
  <c r="I11" i="8" s="1"/>
  <c r="H13" i="8"/>
  <c r="I13" i="8" s="1"/>
  <c r="H15" i="8"/>
  <c r="I15" i="8" s="1"/>
  <c r="H17" i="8"/>
  <c r="I17" i="8" s="1"/>
  <c r="H19" i="8"/>
  <c r="I19" i="8" s="1"/>
  <c r="H21" i="8"/>
  <c r="I21" i="8" s="1"/>
  <c r="H23" i="8"/>
  <c r="I23" i="8" s="1"/>
  <c r="H25" i="8"/>
  <c r="I25" i="8" s="1"/>
  <c r="H27" i="8"/>
  <c r="I27" i="8" s="1"/>
  <c r="I10" i="7"/>
  <c r="J10" i="7" s="1"/>
  <c r="I12" i="7"/>
  <c r="J12" i="7" s="1"/>
  <c r="I20" i="7"/>
  <c r="I6" i="7"/>
  <c r="J6" i="7" s="1"/>
  <c r="I9" i="7"/>
  <c r="J9" i="7" s="1"/>
  <c r="I13" i="7"/>
  <c r="J13" i="7" s="1"/>
  <c r="I15" i="7"/>
  <c r="J15" i="7" s="1"/>
  <c r="I19" i="7"/>
  <c r="I21" i="7"/>
  <c r="I14" i="7"/>
  <c r="J14" i="7" s="1"/>
  <c r="I5" i="7"/>
  <c r="J5" i="7" s="1"/>
  <c r="I18" i="7"/>
  <c r="I7" i="7"/>
  <c r="J7" i="7" s="1"/>
  <c r="I11" i="7"/>
  <c r="J11" i="7" s="1"/>
  <c r="I4" i="7"/>
  <c r="J4" i="7" s="1"/>
  <c r="I8" i="7"/>
  <c r="J8" i="7" s="1"/>
  <c r="E7" i="6"/>
  <c r="E4" i="6"/>
  <c r="C8" i="6" s="1"/>
  <c r="E5" i="6"/>
  <c r="F8" i="6"/>
  <c r="G8" i="6" s="1"/>
  <c r="I29" i="8" l="1"/>
  <c r="J16" i="7"/>
  <c r="F9" i="6"/>
  <c r="G9" i="6" s="1"/>
  <c r="E8" i="6"/>
  <c r="D8" i="6"/>
  <c r="C9" i="6"/>
  <c r="E9" i="6" l="1"/>
  <c r="D9" i="6"/>
  <c r="C10" i="6" s="1"/>
  <c r="E10" i="6" l="1"/>
  <c r="D10" i="6"/>
  <c r="F11" i="6" s="1"/>
  <c r="G11" i="6" s="1"/>
  <c r="C11" i="6"/>
  <c r="F10" i="6"/>
  <c r="G10" i="6" s="1"/>
  <c r="D11" i="6" l="1"/>
  <c r="F12" i="6" s="1"/>
  <c r="G12" i="6" s="1"/>
  <c r="E11" i="6"/>
  <c r="C12" i="6"/>
  <c r="E12" i="6" l="1"/>
  <c r="D12" i="6"/>
  <c r="F13" i="6" s="1"/>
  <c r="G13" i="6" s="1"/>
  <c r="C13" i="6" l="1"/>
  <c r="E13" i="6" l="1"/>
  <c r="D13" i="6"/>
  <c r="F14" i="6" s="1"/>
  <c r="G14" i="6" s="1"/>
  <c r="C14" i="6"/>
  <c r="D14" i="6" l="1"/>
  <c r="F15" i="6" s="1"/>
  <c r="G15" i="6" s="1"/>
  <c r="G16" i="6" s="1"/>
  <c r="E14" i="6"/>
  <c r="C15" i="6"/>
  <c r="D15" i="6" l="1"/>
  <c r="F21" i="6" s="1"/>
  <c r="F20" i="6"/>
  <c r="E15" i="6"/>
  <c r="F19" i="6"/>
  <c r="F18" i="6"/>
  <c r="B44" i="4" l="1"/>
  <c r="D43" i="4" s="1"/>
  <c r="B39" i="4"/>
  <c r="D38" i="4" s="1"/>
  <c r="D36" i="4"/>
  <c r="B33" i="4"/>
  <c r="D32" i="4" s="1"/>
  <c r="D25" i="4"/>
  <c r="D24" i="4"/>
  <c r="D23" i="4"/>
  <c r="D22" i="4"/>
  <c r="D21" i="4"/>
  <c r="D17" i="4"/>
  <c r="D16" i="4"/>
  <c r="D15" i="4"/>
  <c r="D14" i="4"/>
  <c r="D13" i="4"/>
  <c r="D12" i="4"/>
  <c r="J8" i="4"/>
  <c r="I8" i="4"/>
  <c r="D8" i="4"/>
  <c r="I7" i="4"/>
  <c r="J7" i="4" s="1"/>
  <c r="D7" i="4"/>
  <c r="J6" i="4"/>
  <c r="I6" i="4"/>
  <c r="D6" i="4"/>
  <c r="J5" i="4"/>
  <c r="I5" i="4"/>
  <c r="D5" i="4"/>
  <c r="I4" i="4"/>
  <c r="J4" i="4" s="1"/>
  <c r="D4" i="4"/>
  <c r="I3" i="4"/>
  <c r="J11" i="4" s="1"/>
  <c r="D3" i="4"/>
  <c r="I2" i="4"/>
  <c r="D2" i="4"/>
  <c r="D8" i="3"/>
  <c r="E8" i="3" s="1"/>
  <c r="E7" i="3"/>
  <c r="D7" i="3"/>
  <c r="D6" i="3"/>
  <c r="E6" i="3" s="1"/>
  <c r="D5" i="3"/>
  <c r="E5" i="3" s="1"/>
  <c r="D4" i="3"/>
  <c r="D3" i="3"/>
  <c r="E11" i="3" s="1"/>
  <c r="D2" i="3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2" i="2"/>
  <c r="E11" i="2" s="1"/>
  <c r="D8" i="1"/>
  <c r="E8" i="1" s="1"/>
  <c r="E7" i="1"/>
  <c r="D7" i="1"/>
  <c r="D6" i="1"/>
  <c r="D5" i="1"/>
  <c r="E5" i="1" s="1"/>
  <c r="D4" i="1"/>
  <c r="E4" i="1" s="1"/>
  <c r="D3" i="1"/>
  <c r="D2" i="1"/>
  <c r="E11" i="1" s="1"/>
  <c r="D37" i="4" l="1"/>
  <c r="D29" i="4"/>
  <c r="J3" i="4"/>
  <c r="D30" i="4"/>
  <c r="D42" i="4"/>
  <c r="D31" i="4"/>
  <c r="E3" i="3"/>
  <c r="E12" i="2"/>
  <c r="E13" i="2"/>
  <c r="E14" i="2"/>
  <c r="E14" i="1"/>
  <c r="E13" i="1"/>
  <c r="E12" i="1"/>
  <c r="J12" i="4" l="1"/>
  <c r="J14" i="4"/>
  <c r="J13" i="4"/>
  <c r="E14" i="3"/>
  <c r="E12" i="3"/>
  <c r="E13" i="3"/>
</calcChain>
</file>

<file path=xl/sharedStrings.xml><?xml version="1.0" encoding="utf-8"?>
<sst xmlns="http://schemas.openxmlformats.org/spreadsheetml/2006/main" count="170" uniqueCount="67">
  <si>
    <t>Job</t>
  </si>
  <si>
    <t>Processing Time</t>
  </si>
  <si>
    <t>Due Date</t>
  </si>
  <si>
    <t>Completion Time</t>
  </si>
  <si>
    <t>Tardiness</t>
  </si>
  <si>
    <t>Mean Flow time</t>
  </si>
  <si>
    <t>Mean Tardiness</t>
  </si>
  <si>
    <t>Max Tardiness</t>
  </si>
  <si>
    <t>No. of Tardy Jobs</t>
  </si>
  <si>
    <t>CR</t>
  </si>
  <si>
    <t>Current Time</t>
  </si>
  <si>
    <t>Using Winter's Additive Seasonality Model</t>
  </si>
  <si>
    <t>t</t>
  </si>
  <si>
    <t>sales</t>
  </si>
  <si>
    <t>L_t</t>
  </si>
  <si>
    <t>b_T</t>
  </si>
  <si>
    <t>S_t</t>
  </si>
  <si>
    <t>F_{t+m}</t>
  </si>
  <si>
    <t>abs_err_%</t>
  </si>
  <si>
    <t>alpha</t>
  </si>
  <si>
    <t>beta</t>
  </si>
  <si>
    <t>gamma</t>
  </si>
  <si>
    <t>MAPE</t>
  </si>
  <si>
    <t>Predictions</t>
  </si>
  <si>
    <t>Period</t>
  </si>
  <si>
    <t>Demand</t>
  </si>
  <si>
    <t>sin(2pi/p*t)</t>
  </si>
  <si>
    <t>cos(2pi/p*t)</t>
  </si>
  <si>
    <t>sin(4pi/p*t)</t>
  </si>
  <si>
    <t>cos(4pi/p*t)</t>
  </si>
  <si>
    <t>Forecast</t>
  </si>
  <si>
    <t>Abs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</si>
  <si>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</si>
  <si>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</si>
  <si>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</si>
  <si>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</si>
  <si>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</si>
  <si>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</si>
  <si>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</si>
  <si>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</si>
  <si>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</si>
  <si>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</si>
  <si>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</si>
  <si>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</si>
  <si>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</si>
  <si>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</si>
  <si>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</si>
  <si>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</si>
  <si>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</si>
  <si>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</si>
  <si>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</si>
  <si>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</si>
  <si>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</si>
  <si>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</si>
  <si>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</si>
  <si>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</si>
  <si>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 xml:space="preserve">Part A. fit a model with trigonometric functions </t>
  </si>
  <si>
    <t>Part B Compare the performance of the forecasting models from questions (1) and (2a) using MAPE</t>
  </si>
  <si>
    <t>Model</t>
  </si>
  <si>
    <t>Winter's Additive</t>
  </si>
  <si>
    <t>Tignometry</t>
  </si>
  <si>
    <t>Episode</t>
  </si>
  <si>
    <t>Ratings</t>
  </si>
  <si>
    <t>Abs_Error</t>
  </si>
  <si>
    <t>MAD</t>
  </si>
  <si>
    <t xml:space="preserve">harmonic regression model </t>
  </si>
  <si>
    <t>Period: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</si>
</sst>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E+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0" fontId="7" fillId="0" borderId="2" xfId="0" applyFont="1" applyBorder="1" applyAlignment="1">
      <alignment horizontal="center"/>
    </xf>
    <xf numFmtId="2" fontId="6" fillId="0" borderId="0" xfId="0" applyNumberFormat="1" applyFont="1"/>
    <xf numFmtId="0" fontId="7" fillId="0" borderId="1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8" fillId="3" borderId="0" xfId="0" applyFont="1" applyFill="1"/>
    <xf numFmtId="0" fontId="6" fillId="0" borderId="3" xfId="0" applyFont="1" applyBorder="1" applyAlignment="1">
      <alignment horizontal="center"/>
    </xf>
    <xf numFmtId="0" fontId="9" fillId="3" borderId="0" xfId="0" applyFont="1" applyFill="1"/>
    <xf numFmtId="0" fontId="3" fillId="0" borderId="0" xfId="0" applyFont="1"/>
    <xf numFmtId="0" fontId="2" fillId="0" borderId="0" xfId="0" applyFont="1"/>
    <xf numFmtId="0" fontId="11" fillId="0" borderId="0" xfId="0" applyFont="1"/>
    <xf numFmtId="0" fontId="12" fillId="0" borderId="0" xfId="0" applyFont="1"/>
    <xf numFmtId="2" fontId="3" fillId="0" borderId="0" xfId="0" applyNumberFormat="1" applyFont="1"/>
    <xf numFmtId="2" fontId="11" fillId="0" borderId="0" xfId="0" applyNumberFormat="1" applyFont="1"/>
    <xf numFmtId="0" fontId="3" fillId="4" borderId="0" xfId="0" applyFont="1" applyFill="1"/>
    <xf numFmtId="2" fontId="3" fillId="5" borderId="5" xfId="0" applyNumberFormat="1" applyFont="1" applyFill="1" applyBorder="1"/>
    <xf numFmtId="17" fontId="0" fillId="0" borderId="0" xfId="0" applyNumberFormat="1"/>
    <xf numFmtId="165" fontId="0" fillId="0" borderId="0" xfId="0" applyNumberFormat="1"/>
    <xf numFmtId="0" fontId="13" fillId="0" borderId="6" xfId="0" applyFont="1" applyBorder="1" applyAlignment="1">
      <alignment horizontal="centerContinuous"/>
    </xf>
    <xf numFmtId="0" fontId="0" fillId="0" borderId="7" xfId="0" applyBorder="1"/>
    <xf numFmtId="0" fontId="13" fillId="0" borderId="6" xfId="0" applyFont="1" applyBorder="1" applyAlignment="1">
      <alignment horizontal="center"/>
    </xf>
    <xf numFmtId="0" fontId="14" fillId="0" borderId="0" xfId="0" applyFont="1"/>
    <xf numFmtId="0" fontId="1" fillId="0" borderId="0" xfId="0" applyFont="1"/>
    <xf numFmtId="0" fontId="0" fillId="7" borderId="5" xfId="0" applyFill="1" applyBorder="1"/>
    <xf numFmtId="0" fontId="10" fillId="0" borderId="0" xfId="0" applyFont="1"/>
    <xf numFmtId="0" fontId="0" fillId="6" borderId="5" xfId="0" applyFill="1" applyBorder="1"/>
    <xf numFmtId="0" fontId="0" fillId="8" borderId="5" xfId="0" applyFill="1" applyBorder="1"/>
    <xf numFmtId="0" fontId="0" fillId="0" borderId="0" xfId="0" applyFill="1" applyBorder="1"/>
    <xf numFmtId="0" fontId="0" fillId="0" borderId="0" xfId="0" applyFill="1"/>
    <xf numFmtId="0" fontId="10" fillId="9" borderId="0" xfId="0" applyFont="1" applyFill="1"/>
    <xf numFmtId="0" fontId="2" fillId="9" borderId="0" xfId="0" applyFont="1" applyFill="1"/>
    <xf numFmtId="0" fontId="3" fillId="6" borderId="5" xfId="0" applyFont="1" applyFill="1" applyBorder="1"/>
  </cellXfs>
  <cellStyles count="2">
    <cellStyle name="Normal" xfId="0" builtinId="0"/>
    <cellStyle name="Normal 2" xfId="1" xr:uid="{F7A36B35-5CC4-4D1A-AC03-8D7110BED1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13D7-414E-4BD8-AEED-D1785620FD58}">
  <dimension ref="A1:K21"/>
  <sheetViews>
    <sheetView workbookViewId="0">
      <selection activeCell="H19" sqref="H19"/>
    </sheetView>
  </sheetViews>
  <sheetFormatPr defaultRowHeight="14.4" x14ac:dyDescent="0.3"/>
  <sheetData>
    <row r="1" spans="1:11" x14ac:dyDescent="0.3">
      <c r="A1" s="20" t="s">
        <v>11</v>
      </c>
      <c r="B1" s="20"/>
      <c r="C1" s="20"/>
      <c r="D1" s="20"/>
    </row>
    <row r="3" spans="1:11" x14ac:dyDescent="0.3">
      <c r="A3" s="21" t="s">
        <v>12</v>
      </c>
      <c r="B3" s="21" t="s">
        <v>13</v>
      </c>
      <c r="C3" s="21" t="s">
        <v>14</v>
      </c>
      <c r="D3" s="21" t="s">
        <v>15</v>
      </c>
      <c r="E3" s="21" t="s">
        <v>16</v>
      </c>
      <c r="F3" s="21" t="s">
        <v>17</v>
      </c>
      <c r="G3" s="21" t="s">
        <v>18</v>
      </c>
      <c r="H3" s="18"/>
      <c r="I3" s="21" t="s">
        <v>19</v>
      </c>
      <c r="J3" s="21" t="s">
        <v>20</v>
      </c>
      <c r="K3" s="21" t="s">
        <v>21</v>
      </c>
    </row>
    <row r="4" spans="1:11" x14ac:dyDescent="0.3">
      <c r="A4" s="18">
        <v>1</v>
      </c>
      <c r="B4" s="18">
        <v>2660</v>
      </c>
      <c r="C4" s="18"/>
      <c r="D4" s="18"/>
      <c r="E4" s="22">
        <f>B4-$C$7</f>
        <v>-200</v>
      </c>
      <c r="F4" s="18"/>
      <c r="G4" s="18"/>
      <c r="H4" s="18"/>
      <c r="I4" s="41">
        <v>0.18008396961002876</v>
      </c>
      <c r="J4" s="41">
        <v>0</v>
      </c>
      <c r="K4" s="41">
        <v>1</v>
      </c>
    </row>
    <row r="5" spans="1:11" x14ac:dyDescent="0.3">
      <c r="A5" s="18">
        <v>2</v>
      </c>
      <c r="B5" s="18">
        <v>2950</v>
      </c>
      <c r="C5" s="18"/>
      <c r="D5" s="18"/>
      <c r="E5" s="22">
        <f t="shared" ref="E5:E7" si="0">B5-$C$7</f>
        <v>90</v>
      </c>
      <c r="F5" s="18"/>
      <c r="G5" s="18"/>
      <c r="H5" s="18"/>
      <c r="I5" s="18"/>
      <c r="J5" s="18"/>
      <c r="K5" s="18"/>
    </row>
    <row r="6" spans="1:11" x14ac:dyDescent="0.3">
      <c r="A6" s="18">
        <v>3</v>
      </c>
      <c r="B6" s="18">
        <v>2510</v>
      </c>
      <c r="C6" s="18"/>
      <c r="D6" s="18"/>
      <c r="E6" s="22">
        <f t="shared" si="0"/>
        <v>-350</v>
      </c>
      <c r="F6" s="18"/>
      <c r="G6" s="18"/>
      <c r="H6" s="18"/>
      <c r="I6" s="18"/>
      <c r="J6" s="18"/>
      <c r="K6" s="18"/>
    </row>
    <row r="7" spans="1:11" x14ac:dyDescent="0.3">
      <c r="A7" s="18">
        <v>4</v>
      </c>
      <c r="B7" s="18">
        <v>3320</v>
      </c>
      <c r="C7" s="18">
        <f>SUM(B4:B7)/4</f>
        <v>2860</v>
      </c>
      <c r="D7" s="18">
        <f>0.25*0.25*(B8-B4+B9-B5+B10-B6+B11-B7)</f>
        <v>15</v>
      </c>
      <c r="E7" s="22">
        <f t="shared" si="0"/>
        <v>460</v>
      </c>
      <c r="F7" s="18"/>
      <c r="G7" s="18"/>
      <c r="H7" s="18"/>
      <c r="I7" s="18"/>
      <c r="J7" s="18"/>
      <c r="K7" s="18"/>
    </row>
    <row r="8" spans="1:11" x14ac:dyDescent="0.3">
      <c r="A8" s="18">
        <v>5</v>
      </c>
      <c r="B8" s="18">
        <v>2740</v>
      </c>
      <c r="C8" s="18">
        <f>$I$4*(B8-E4)+(1-$I$4)*(C7+D7)</f>
        <v>2886.7054580246518</v>
      </c>
      <c r="D8" s="18">
        <f>$J$4*(C8-C7)+(1-$J$4)*D7</f>
        <v>15</v>
      </c>
      <c r="E8" s="22">
        <f>$K$4*(B8-C8)+(1-$K$4)*E4</f>
        <v>-146.70545802465176</v>
      </c>
      <c r="F8" s="22">
        <f>C7+1*D7+E4</f>
        <v>2675</v>
      </c>
      <c r="G8" s="18">
        <f>ABS(B8-F8)/B8*100</f>
        <v>2.3722627737226274</v>
      </c>
      <c r="H8" s="18"/>
      <c r="I8" s="18"/>
      <c r="J8" s="18"/>
      <c r="K8" s="18"/>
    </row>
    <row r="9" spans="1:11" x14ac:dyDescent="0.3">
      <c r="A9" s="18">
        <v>6</v>
      </c>
      <c r="B9" s="18">
        <v>3010</v>
      </c>
      <c r="C9" s="18">
        <f t="shared" ref="C9:C15" si="1">$I$4*(B9-E5)+(1-$I$4)*(C8+D8)</f>
        <v>2905.0000117657701</v>
      </c>
      <c r="D9" s="18">
        <f t="shared" ref="D9:D15" si="2">$J$4*(C9-C8)+(1-$J$4)*D8</f>
        <v>15</v>
      </c>
      <c r="E9" s="22">
        <f t="shared" ref="E9:E15" si="3">$K$4*(B9-C9)+(1-$K$4)*E5</f>
        <v>104.99998823422993</v>
      </c>
      <c r="F9" s="22">
        <f t="shared" ref="F9:F15" si="4">C8+1*D8+E5</f>
        <v>2991.7054580246518</v>
      </c>
      <c r="G9" s="18">
        <f t="shared" ref="G9:G15" si="5">ABS(B9-F9)/B9*100</f>
        <v>0.60779209220426045</v>
      </c>
      <c r="H9" s="18"/>
      <c r="I9" s="18"/>
      <c r="J9" s="18"/>
      <c r="K9" s="18"/>
    </row>
    <row r="10" spans="1:11" x14ac:dyDescent="0.3">
      <c r="A10" s="18">
        <v>7</v>
      </c>
      <c r="B10" s="18">
        <v>2570</v>
      </c>
      <c r="C10" s="18">
        <f t="shared" si="1"/>
        <v>2920.0000096469439</v>
      </c>
      <c r="D10" s="18">
        <f t="shared" si="2"/>
        <v>15</v>
      </c>
      <c r="E10" s="22">
        <f t="shared" si="3"/>
        <v>-350.00000964694391</v>
      </c>
      <c r="F10" s="22">
        <f t="shared" si="4"/>
        <v>2570.0000117657701</v>
      </c>
      <c r="G10" s="18">
        <f t="shared" si="5"/>
        <v>4.5781206492024763E-7</v>
      </c>
      <c r="H10" s="18"/>
      <c r="I10" s="18"/>
      <c r="J10" s="18"/>
      <c r="K10" s="18"/>
    </row>
    <row r="11" spans="1:11" x14ac:dyDescent="0.3">
      <c r="A11" s="18">
        <v>8</v>
      </c>
      <c r="B11" s="18">
        <v>3360</v>
      </c>
      <c r="C11" s="18">
        <f t="shared" si="1"/>
        <v>2928.697068973333</v>
      </c>
      <c r="D11" s="18">
        <f t="shared" si="2"/>
        <v>15</v>
      </c>
      <c r="E11" s="22">
        <f t="shared" si="3"/>
        <v>431.30293102666701</v>
      </c>
      <c r="F11" s="22">
        <f t="shared" si="4"/>
        <v>3395.0000096469439</v>
      </c>
      <c r="G11" s="18">
        <f t="shared" si="5"/>
        <v>1.0416669537780925</v>
      </c>
      <c r="H11" s="18"/>
      <c r="I11" s="18"/>
      <c r="J11" s="18"/>
      <c r="K11" s="18"/>
    </row>
    <row r="12" spans="1:11" x14ac:dyDescent="0.3">
      <c r="A12" s="18">
        <v>9</v>
      </c>
      <c r="B12" s="18">
        <v>2850</v>
      </c>
      <c r="C12" s="18">
        <f t="shared" si="1"/>
        <v>2953.2430300963274</v>
      </c>
      <c r="D12" s="18">
        <f t="shared" si="2"/>
        <v>15</v>
      </c>
      <c r="E12" s="22">
        <f t="shared" si="3"/>
        <v>-103.2430300963274</v>
      </c>
      <c r="F12" s="22">
        <f t="shared" si="4"/>
        <v>2796.9916109486812</v>
      </c>
      <c r="G12" s="18">
        <f t="shared" si="5"/>
        <v>1.8599434754848692</v>
      </c>
      <c r="H12" s="18"/>
      <c r="I12" s="18"/>
      <c r="J12" s="18"/>
      <c r="K12" s="18"/>
    </row>
    <row r="13" spans="1:11" x14ac:dyDescent="0.3">
      <c r="A13" s="18">
        <v>10</v>
      </c>
      <c r="B13" s="18">
        <v>3030</v>
      </c>
      <c r="C13" s="18">
        <f t="shared" si="1"/>
        <v>2960.4556556974412</v>
      </c>
      <c r="D13" s="18">
        <f t="shared" si="2"/>
        <v>15</v>
      </c>
      <c r="E13" s="22">
        <f t="shared" si="3"/>
        <v>69.544344302558784</v>
      </c>
      <c r="F13" s="22">
        <f t="shared" si="4"/>
        <v>3073.2430183305573</v>
      </c>
      <c r="G13" s="18">
        <f t="shared" si="5"/>
        <v>1.427162321140506</v>
      </c>
      <c r="H13" s="18"/>
      <c r="I13" s="18"/>
      <c r="J13" s="18"/>
      <c r="K13" s="18"/>
    </row>
    <row r="14" spans="1:11" x14ac:dyDescent="0.3">
      <c r="A14" s="18">
        <v>11</v>
      </c>
      <c r="B14" s="18">
        <v>2550</v>
      </c>
      <c r="C14" s="18">
        <f t="shared" si="1"/>
        <v>2961.8673034271787</v>
      </c>
      <c r="D14" s="18">
        <f t="shared" si="2"/>
        <v>15</v>
      </c>
      <c r="E14" s="22">
        <f t="shared" si="3"/>
        <v>-411.86730342717874</v>
      </c>
      <c r="F14" s="22">
        <f t="shared" si="4"/>
        <v>2625.4556460504973</v>
      </c>
      <c r="G14" s="18">
        <f t="shared" si="5"/>
        <v>2.9590449431567571</v>
      </c>
      <c r="H14" s="18"/>
      <c r="I14" s="18"/>
      <c r="J14" s="18"/>
      <c r="K14" s="18"/>
    </row>
    <row r="15" spans="1:11" x14ac:dyDescent="0.3">
      <c r="A15" s="18">
        <v>12</v>
      </c>
      <c r="B15" s="18">
        <v>3390</v>
      </c>
      <c r="C15" s="18">
        <f t="shared" si="1"/>
        <v>2973.5951354779854</v>
      </c>
      <c r="D15" s="18">
        <f t="shared" si="2"/>
        <v>15</v>
      </c>
      <c r="E15" s="22">
        <f t="shared" si="3"/>
        <v>416.40486452201458</v>
      </c>
      <c r="F15" s="22">
        <f t="shared" si="4"/>
        <v>3408.1702344538458</v>
      </c>
      <c r="G15" s="18">
        <f t="shared" si="5"/>
        <v>0.53599511663261801</v>
      </c>
      <c r="H15" s="18"/>
      <c r="I15" s="18"/>
      <c r="J15" s="18"/>
      <c r="K15" s="18"/>
    </row>
    <row r="16" spans="1:11" x14ac:dyDescent="0.3">
      <c r="A16" s="18"/>
      <c r="B16" s="18"/>
      <c r="C16" s="22"/>
      <c r="D16" s="22"/>
      <c r="E16" s="22"/>
      <c r="F16" s="23" t="s">
        <v>22</v>
      </c>
      <c r="G16" s="24">
        <f>AVERAGE(G8:G15)</f>
        <v>1.3504835167414746</v>
      </c>
      <c r="H16" s="18"/>
      <c r="I16" s="18"/>
      <c r="J16" s="18"/>
      <c r="K16" s="18"/>
    </row>
    <row r="17" spans="1:11" x14ac:dyDescent="0.3">
      <c r="A17" s="20" t="s">
        <v>23</v>
      </c>
      <c r="B17" s="18"/>
      <c r="C17" s="22"/>
      <c r="D17" s="22"/>
      <c r="E17" s="22"/>
      <c r="F17" s="22"/>
      <c r="G17" s="18"/>
      <c r="H17" s="18"/>
      <c r="I17" s="18"/>
      <c r="J17" s="18"/>
      <c r="K17" s="18"/>
    </row>
    <row r="18" spans="1:11" x14ac:dyDescent="0.3">
      <c r="A18" s="18">
        <v>13</v>
      </c>
      <c r="B18" s="18"/>
      <c r="C18" s="22"/>
      <c r="D18" s="22"/>
      <c r="E18" s="22"/>
      <c r="F18" s="25">
        <f>$C$15+1*$D$15+E12</f>
        <v>2885.352105381658</v>
      </c>
      <c r="G18" s="18"/>
      <c r="H18" s="18"/>
      <c r="I18" s="18"/>
      <c r="J18" s="18"/>
      <c r="K18" s="18"/>
    </row>
    <row r="19" spans="1:11" x14ac:dyDescent="0.3">
      <c r="A19" s="18">
        <v>14</v>
      </c>
      <c r="B19" s="18"/>
      <c r="C19" s="22"/>
      <c r="D19" s="22"/>
      <c r="E19" s="22"/>
      <c r="F19" s="25">
        <f>$C$15+2*$D$15+E13</f>
        <v>3073.1394797805442</v>
      </c>
      <c r="G19" s="18"/>
      <c r="H19" s="18"/>
      <c r="I19" s="18"/>
      <c r="J19" s="18"/>
      <c r="K19" s="18"/>
    </row>
    <row r="20" spans="1:11" x14ac:dyDescent="0.3">
      <c r="A20" s="18">
        <v>15</v>
      </c>
      <c r="B20" s="18"/>
      <c r="C20" s="22"/>
      <c r="D20" s="22"/>
      <c r="E20" s="22"/>
      <c r="F20" s="25">
        <f>$C$15+3*$D$15+E14</f>
        <v>2606.7278320508067</v>
      </c>
      <c r="G20" s="18"/>
      <c r="H20" s="18"/>
      <c r="I20" s="18"/>
      <c r="J20" s="18"/>
      <c r="K20" s="18"/>
    </row>
    <row r="21" spans="1:11" x14ac:dyDescent="0.3">
      <c r="A21" s="18">
        <v>16</v>
      </c>
      <c r="B21" s="18"/>
      <c r="C21" s="22"/>
      <c r="D21" s="22"/>
      <c r="E21" s="22"/>
      <c r="F21" s="25">
        <f>$C$15+4*$D$15+E15</f>
        <v>3450</v>
      </c>
      <c r="G21" s="18"/>
      <c r="H21" s="18"/>
      <c r="I21" s="18"/>
      <c r="J21" s="18"/>
      <c r="K2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0E7D-7A97-4F2E-8AB6-BF77381C0B54}">
  <dimension ref="A1:J50"/>
  <sheetViews>
    <sheetView topLeftCell="A7" workbookViewId="0">
      <selection activeCell="E50" sqref="E50"/>
    </sheetView>
  </sheetViews>
  <sheetFormatPr defaultRowHeight="14.4" x14ac:dyDescent="0.3"/>
  <cols>
    <col min="1" max="1" width="17.44140625" bestFit="1" customWidth="1"/>
  </cols>
  <sheetData>
    <row r="1" spans="1:10" ht="17.399999999999999" x14ac:dyDescent="0.35">
      <c r="A1" s="34" t="s">
        <v>56</v>
      </c>
    </row>
    <row r="3" spans="1:10" x14ac:dyDescent="0.3">
      <c r="A3" s="19" t="s">
        <v>24</v>
      </c>
      <c r="B3" s="19" t="s">
        <v>25</v>
      </c>
      <c r="C3" s="19" t="s">
        <v>12</v>
      </c>
      <c r="D3" s="19" t="s">
        <v>26</v>
      </c>
      <c r="E3" s="19" t="s">
        <v>27</v>
      </c>
      <c r="F3" s="19" t="s">
        <v>28</v>
      </c>
      <c r="G3" s="19" t="s">
        <v>29</v>
      </c>
      <c r="H3" s="19" t="s">
        <v>25</v>
      </c>
      <c r="I3" s="19" t="s">
        <v>30</v>
      </c>
      <c r="J3" s="19" t="s">
        <v>31</v>
      </c>
    </row>
    <row r="4" spans="1:10" x14ac:dyDescent="0.3">
      <c r="A4" s="26">
        <v>43101</v>
      </c>
      <c r="B4">
        <v>2660</v>
      </c>
      <c r="C4">
        <v>1</v>
      </c>
      <c r="D4" s="27">
        <f>SIN(2*PI()/4*C4)</f>
        <v>1</v>
      </c>
      <c r="E4" s="27">
        <f>COS(2*PI()*C4/4)</f>
        <v>6.1257422745431001E-17</v>
      </c>
      <c r="F4" s="27">
        <f>SIN(4*PI()*C4/4)</f>
        <v>1.22514845490862E-16</v>
      </c>
      <c r="G4" s="27">
        <f>COS(4*PI()*C4/4)</f>
        <v>-1</v>
      </c>
      <c r="H4">
        <v>2660</v>
      </c>
      <c r="I4">
        <f t="shared" ref="I4:I15" si="0">$B$39+$B$40*C4+$B$41*D4+$B$42*E4+$B$43*F4+$B$44*G4</f>
        <v>2702.8975937954774</v>
      </c>
      <c r="J4">
        <f>ABS(I4-H4)/H4*100</f>
        <v>1.6126914960705792</v>
      </c>
    </row>
    <row r="5" spans="1:10" x14ac:dyDescent="0.3">
      <c r="A5" s="26">
        <v>43191</v>
      </c>
      <c r="B5">
        <v>2950</v>
      </c>
      <c r="C5">
        <v>2</v>
      </c>
      <c r="D5" s="27">
        <f t="shared" ref="D5:D21" si="1">SIN(2*PI()/4*C5)</f>
        <v>1.22514845490862E-16</v>
      </c>
      <c r="E5" s="27">
        <f t="shared" ref="E5:E15" si="2">COS(2*PI()*C5/4)</f>
        <v>-1</v>
      </c>
      <c r="F5" s="27">
        <f t="shared" ref="F5:F15" si="3">SIN(4*PI()*C5/4)</f>
        <v>-2.45029690981724E-16</v>
      </c>
      <c r="G5" s="27">
        <f t="shared" ref="G5:G15" si="4">COS(4*PI()*C5/4)</f>
        <v>1</v>
      </c>
      <c r="H5">
        <v>2950</v>
      </c>
      <c r="I5">
        <f t="shared" si="0"/>
        <v>2941.0872606717739</v>
      </c>
      <c r="J5">
        <f t="shared" ref="J5:J15" si="5">ABS(I5-H5)/H5*100</f>
        <v>0.30212675688901874</v>
      </c>
    </row>
    <row r="6" spans="1:10" x14ac:dyDescent="0.3">
      <c r="A6" s="26">
        <v>43282</v>
      </c>
      <c r="B6">
        <v>2510</v>
      </c>
      <c r="C6">
        <v>3</v>
      </c>
      <c r="D6" s="27">
        <f t="shared" si="1"/>
        <v>-1</v>
      </c>
      <c r="E6" s="27">
        <f t="shared" si="2"/>
        <v>-1.83772268236293E-16</v>
      </c>
      <c r="F6" s="27">
        <f t="shared" si="3"/>
        <v>3.67544536472586E-16</v>
      </c>
      <c r="G6" s="27">
        <f t="shared" si="4"/>
        <v>-1</v>
      </c>
      <c r="H6">
        <v>2510</v>
      </c>
      <c r="I6">
        <f t="shared" si="0"/>
        <v>2506.4733433946972</v>
      </c>
      <c r="J6">
        <f t="shared" si="5"/>
        <v>0.14050424722322044</v>
      </c>
    </row>
    <row r="7" spans="1:10" x14ac:dyDescent="0.3">
      <c r="A7" s="26">
        <v>43374</v>
      </c>
      <c r="B7">
        <v>3320</v>
      </c>
      <c r="C7">
        <v>4</v>
      </c>
      <c r="D7" s="27">
        <f t="shared" si="1"/>
        <v>-2.45029690981724E-16</v>
      </c>
      <c r="E7" s="27">
        <f t="shared" si="2"/>
        <v>1</v>
      </c>
      <c r="F7" s="27">
        <f t="shared" si="3"/>
        <v>-4.90059381963448E-16</v>
      </c>
      <c r="G7" s="27">
        <f t="shared" si="4"/>
        <v>1</v>
      </c>
      <c r="H7">
        <v>3320</v>
      </c>
      <c r="I7">
        <f t="shared" si="0"/>
        <v>3301.0872606717739</v>
      </c>
      <c r="J7">
        <f t="shared" si="5"/>
        <v>0.56966082313933897</v>
      </c>
    </row>
    <row r="8" spans="1:10" x14ac:dyDescent="0.3">
      <c r="A8" s="26">
        <v>43466</v>
      </c>
      <c r="B8">
        <v>2740</v>
      </c>
      <c r="C8">
        <v>5</v>
      </c>
      <c r="D8" s="27">
        <f t="shared" si="1"/>
        <v>1</v>
      </c>
      <c r="E8" s="27">
        <f t="shared" si="2"/>
        <v>3.06287113727155E-16</v>
      </c>
      <c r="F8" s="27">
        <f t="shared" si="3"/>
        <v>6.1257422745431001E-16</v>
      </c>
      <c r="G8" s="27">
        <f t="shared" si="4"/>
        <v>-1</v>
      </c>
      <c r="H8">
        <v>2740</v>
      </c>
      <c r="I8">
        <f t="shared" si="0"/>
        <v>2750</v>
      </c>
      <c r="J8">
        <f t="shared" si="5"/>
        <v>0.36496350364963503</v>
      </c>
    </row>
    <row r="9" spans="1:10" x14ac:dyDescent="0.3">
      <c r="A9" s="26">
        <v>43556</v>
      </c>
      <c r="B9">
        <v>3010</v>
      </c>
      <c r="C9">
        <v>6</v>
      </c>
      <c r="D9" s="27">
        <f t="shared" si="1"/>
        <v>3.67544536472586E-16</v>
      </c>
      <c r="E9" s="27">
        <f t="shared" si="2"/>
        <v>-1</v>
      </c>
      <c r="F9" s="27">
        <f t="shared" si="3"/>
        <v>-7.3508907294517201E-16</v>
      </c>
      <c r="G9" s="27">
        <f t="shared" si="4"/>
        <v>1</v>
      </c>
      <c r="H9">
        <v>3010</v>
      </c>
      <c r="I9">
        <f t="shared" si="0"/>
        <v>2996.6666666666665</v>
      </c>
      <c r="J9">
        <f t="shared" si="5"/>
        <v>0.44296788482835497</v>
      </c>
    </row>
    <row r="10" spans="1:10" x14ac:dyDescent="0.3">
      <c r="A10" s="26">
        <v>43647</v>
      </c>
      <c r="B10">
        <v>2570</v>
      </c>
      <c r="C10">
        <v>7</v>
      </c>
      <c r="D10" s="27">
        <f t="shared" si="1"/>
        <v>-1</v>
      </c>
      <c r="E10" s="27">
        <f t="shared" si="2"/>
        <v>-4.28801959218017E-16</v>
      </c>
      <c r="F10" s="27">
        <f t="shared" si="3"/>
        <v>8.5760391843603401E-16</v>
      </c>
      <c r="G10" s="27">
        <f t="shared" si="4"/>
        <v>-1</v>
      </c>
      <c r="H10">
        <v>2570</v>
      </c>
      <c r="I10">
        <f t="shared" si="0"/>
        <v>2553.5757495992198</v>
      </c>
      <c r="J10">
        <f t="shared" si="5"/>
        <v>0.63907589108094309</v>
      </c>
    </row>
    <row r="11" spans="1:10" x14ac:dyDescent="0.3">
      <c r="A11" s="26">
        <v>43739</v>
      </c>
      <c r="B11">
        <v>3360</v>
      </c>
      <c r="C11">
        <v>8</v>
      </c>
      <c r="D11" s="27">
        <f t="shared" si="1"/>
        <v>-4.90059381963448E-16</v>
      </c>
      <c r="E11" s="27">
        <f t="shared" si="2"/>
        <v>1</v>
      </c>
      <c r="F11" s="27">
        <f t="shared" si="3"/>
        <v>-9.8011876392689601E-16</v>
      </c>
      <c r="G11" s="27">
        <f t="shared" si="4"/>
        <v>1</v>
      </c>
      <c r="H11">
        <v>3360</v>
      </c>
      <c r="I11">
        <f t="shared" si="0"/>
        <v>3356.6666666666665</v>
      </c>
      <c r="J11">
        <f t="shared" si="5"/>
        <v>9.9206349206353711E-2</v>
      </c>
    </row>
    <row r="12" spans="1:10" x14ac:dyDescent="0.3">
      <c r="A12" s="26">
        <v>43831</v>
      </c>
      <c r="B12">
        <v>2850</v>
      </c>
      <c r="C12">
        <v>9</v>
      </c>
      <c r="D12" s="27">
        <f t="shared" si="1"/>
        <v>1</v>
      </c>
      <c r="E12" s="27">
        <f t="shared" si="2"/>
        <v>5.51316804708879E-16</v>
      </c>
      <c r="F12" s="27">
        <f t="shared" si="3"/>
        <v>1.102633609417758E-15</v>
      </c>
      <c r="G12" s="27">
        <f t="shared" si="4"/>
        <v>-1</v>
      </c>
      <c r="H12">
        <v>2850</v>
      </c>
      <c r="I12">
        <f t="shared" si="0"/>
        <v>2797.1024062045226</v>
      </c>
      <c r="J12">
        <f t="shared" si="5"/>
        <v>1.8560559226483302</v>
      </c>
    </row>
    <row r="13" spans="1:10" x14ac:dyDescent="0.3">
      <c r="A13" s="26">
        <v>43922</v>
      </c>
      <c r="B13">
        <v>3030</v>
      </c>
      <c r="C13">
        <v>10</v>
      </c>
      <c r="D13" s="27">
        <f t="shared" si="1"/>
        <v>6.1257422745431001E-16</v>
      </c>
      <c r="E13" s="27">
        <f t="shared" si="2"/>
        <v>-1</v>
      </c>
      <c r="F13" s="27">
        <f t="shared" si="3"/>
        <v>-1.22514845490862E-15</v>
      </c>
      <c r="G13" s="27">
        <f t="shared" si="4"/>
        <v>1</v>
      </c>
      <c r="H13">
        <v>3030</v>
      </c>
      <c r="I13">
        <f t="shared" si="0"/>
        <v>3052.2460726615591</v>
      </c>
      <c r="J13">
        <f t="shared" si="5"/>
        <v>0.73419381721317112</v>
      </c>
    </row>
    <row r="14" spans="1:10" x14ac:dyDescent="0.3">
      <c r="A14" s="26">
        <v>44013</v>
      </c>
      <c r="B14">
        <v>2550</v>
      </c>
      <c r="C14">
        <v>11</v>
      </c>
      <c r="D14" s="27">
        <f t="shared" si="1"/>
        <v>-1</v>
      </c>
      <c r="E14" s="27">
        <f t="shared" si="2"/>
        <v>-2.4501884895999915E-15</v>
      </c>
      <c r="F14" s="27">
        <f t="shared" si="3"/>
        <v>4.9003769791999829E-15</v>
      </c>
      <c r="G14" s="27">
        <f t="shared" si="4"/>
        <v>-1</v>
      </c>
      <c r="H14">
        <v>2550</v>
      </c>
      <c r="I14">
        <f t="shared" si="0"/>
        <v>2569.9509070060822</v>
      </c>
      <c r="J14">
        <f t="shared" si="5"/>
        <v>0.78238851004243759</v>
      </c>
    </row>
    <row r="15" spans="1:10" x14ac:dyDescent="0.3">
      <c r="A15" s="26">
        <v>44105</v>
      </c>
      <c r="B15">
        <v>3390</v>
      </c>
      <c r="C15">
        <v>12</v>
      </c>
      <c r="D15" s="27">
        <f t="shared" si="1"/>
        <v>-7.3508907294517201E-16</v>
      </c>
      <c r="E15" s="27">
        <f t="shared" si="2"/>
        <v>1</v>
      </c>
      <c r="F15" s="27">
        <f t="shared" si="3"/>
        <v>-1.470178145890344E-15</v>
      </c>
      <c r="G15" s="27">
        <f t="shared" si="4"/>
        <v>1</v>
      </c>
      <c r="H15">
        <v>3390</v>
      </c>
      <c r="I15">
        <f t="shared" si="0"/>
        <v>3412.2460726615591</v>
      </c>
      <c r="J15">
        <f t="shared" si="5"/>
        <v>0.65622633219938298</v>
      </c>
    </row>
    <row r="16" spans="1:10" x14ac:dyDescent="0.3">
      <c r="D16" s="27"/>
      <c r="E16" s="27"/>
      <c r="F16" s="27"/>
      <c r="G16" s="27"/>
      <c r="I16" s="31" t="s">
        <v>22</v>
      </c>
      <c r="J16" s="32">
        <f>AVERAGE(J4:J15)</f>
        <v>0.68333846118256381</v>
      </c>
    </row>
    <row r="17" spans="1:10" x14ac:dyDescent="0.3">
      <c r="A17" s="19" t="s">
        <v>23</v>
      </c>
      <c r="D17" s="27"/>
      <c r="E17" s="27"/>
      <c r="F17" s="27"/>
      <c r="G17" s="27"/>
      <c r="I17" s="31"/>
      <c r="J17" s="32"/>
    </row>
    <row r="18" spans="1:10" x14ac:dyDescent="0.3">
      <c r="C18">
        <v>13</v>
      </c>
      <c r="D18" s="27">
        <f t="shared" si="1"/>
        <v>1</v>
      </c>
      <c r="E18" s="27">
        <f t="shared" ref="E18:E21" si="6">COS(2*PI()*C18/4)</f>
        <v>-9.8001034370964746E-16</v>
      </c>
      <c r="F18" s="27">
        <f t="shared" ref="F18:F21" si="7">SIN(4*PI()*C18/4)</f>
        <v>-1.9600206874192949E-15</v>
      </c>
      <c r="G18" s="27">
        <f t="shared" ref="G18:G21" si="8">COS(4*PI()*C18/4)</f>
        <v>-1</v>
      </c>
      <c r="I18" s="33">
        <f t="shared" ref="I18:I21" si="9">$B$39+$B$40*C18+$B$41*D18+$B$42*E18+$B$43*F18+$B$44*G18</f>
        <v>2874.9320612067049</v>
      </c>
    </row>
    <row r="19" spans="1:10" x14ac:dyDescent="0.3">
      <c r="C19">
        <v>14</v>
      </c>
      <c r="D19" s="27">
        <f t="shared" si="1"/>
        <v>8.5760391843603401E-16</v>
      </c>
      <c r="E19" s="27">
        <f t="shared" si="6"/>
        <v>-1</v>
      </c>
      <c r="F19" s="27">
        <f t="shared" si="7"/>
        <v>-1.715207836872068E-15</v>
      </c>
      <c r="G19" s="27">
        <f t="shared" si="8"/>
        <v>1</v>
      </c>
      <c r="I19" s="33">
        <f t="shared" si="9"/>
        <v>3107.8254786564517</v>
      </c>
    </row>
    <row r="20" spans="1:10" x14ac:dyDescent="0.3">
      <c r="C20">
        <v>15</v>
      </c>
      <c r="D20" s="27">
        <f t="shared" si="1"/>
        <v>-1</v>
      </c>
      <c r="E20" s="27">
        <f t="shared" si="6"/>
        <v>-2.6952181805817155E-15</v>
      </c>
      <c r="F20" s="27">
        <f t="shared" si="7"/>
        <v>5.3904363611634309E-15</v>
      </c>
      <c r="G20" s="27">
        <f t="shared" si="8"/>
        <v>-1</v>
      </c>
      <c r="I20" s="33">
        <f t="shared" si="9"/>
        <v>2617.0533132106048</v>
      </c>
    </row>
    <row r="21" spans="1:10" x14ac:dyDescent="0.3">
      <c r="C21">
        <v>16</v>
      </c>
      <c r="D21" s="27">
        <f t="shared" si="1"/>
        <v>-9.8011876392689601E-16</v>
      </c>
      <c r="E21" s="27">
        <f t="shared" si="6"/>
        <v>1</v>
      </c>
      <c r="F21" s="27">
        <f t="shared" si="7"/>
        <v>-1.960237527853792E-15</v>
      </c>
      <c r="G21" s="27">
        <f t="shared" si="8"/>
        <v>1</v>
      </c>
      <c r="I21" s="33">
        <f t="shared" si="9"/>
        <v>3467.8254786564512</v>
      </c>
    </row>
    <row r="23" spans="1:10" x14ac:dyDescent="0.3">
      <c r="A23" t="s">
        <v>32</v>
      </c>
    </row>
    <row r="24" spans="1:10" ht="15" thickBot="1" x14ac:dyDescent="0.35"/>
    <row r="25" spans="1:10" x14ac:dyDescent="0.3">
      <c r="A25" s="28" t="s">
        <v>33</v>
      </c>
      <c r="B25" s="28"/>
    </row>
    <row r="26" spans="1:10" x14ac:dyDescent="0.3">
      <c r="A26" t="s">
        <v>34</v>
      </c>
      <c r="B26">
        <v>0.99687473309193486</v>
      </c>
    </row>
    <row r="27" spans="1:10" x14ac:dyDescent="0.3">
      <c r="A27" t="s">
        <v>35</v>
      </c>
      <c r="B27">
        <v>0.99375923347711637</v>
      </c>
    </row>
    <row r="28" spans="1:10" x14ac:dyDescent="0.3">
      <c r="A28" t="s">
        <v>36</v>
      </c>
      <c r="B28">
        <v>0.98855859470804663</v>
      </c>
    </row>
    <row r="29" spans="1:10" x14ac:dyDescent="0.3">
      <c r="A29" t="s">
        <v>37</v>
      </c>
      <c r="B29">
        <v>34.240288158453701</v>
      </c>
    </row>
    <row r="30" spans="1:10" ht="15" thickBot="1" x14ac:dyDescent="0.35">
      <c r="A30" s="29" t="s">
        <v>38</v>
      </c>
      <c r="B30" s="29">
        <v>12</v>
      </c>
    </row>
    <row r="32" spans="1:10" ht="15" thickBot="1" x14ac:dyDescent="0.35">
      <c r="A32" t="s">
        <v>39</v>
      </c>
    </row>
    <row r="33" spans="1:9" x14ac:dyDescent="0.3">
      <c r="A33" s="30"/>
      <c r="B33" s="30" t="s">
        <v>40</v>
      </c>
      <c r="C33" s="30" t="s">
        <v>41</v>
      </c>
      <c r="D33" s="30" t="s">
        <v>42</v>
      </c>
      <c r="E33" s="30" t="s">
        <v>43</v>
      </c>
      <c r="F33" s="30" t="s">
        <v>44</v>
      </c>
    </row>
    <row r="34" spans="1:9" x14ac:dyDescent="0.3">
      <c r="A34" t="s">
        <v>45</v>
      </c>
      <c r="B34">
        <v>5</v>
      </c>
      <c r="C34">
        <v>1120132.2826676231</v>
      </c>
      <c r="D34">
        <v>224026.45653352462</v>
      </c>
      <c r="E34">
        <v>191.08407209272164</v>
      </c>
      <c r="F34">
        <v>1.5838975324661372E-6</v>
      </c>
    </row>
    <row r="35" spans="1:9" x14ac:dyDescent="0.3">
      <c r="A35" t="s">
        <v>46</v>
      </c>
      <c r="B35">
        <v>6</v>
      </c>
      <c r="C35">
        <v>7034.3839990436672</v>
      </c>
      <c r="D35">
        <v>1172.3973331739446</v>
      </c>
    </row>
    <row r="36" spans="1:9" ht="15" thickBot="1" x14ac:dyDescent="0.35">
      <c r="A36" s="29" t="s">
        <v>47</v>
      </c>
      <c r="B36" s="29">
        <v>11</v>
      </c>
      <c r="C36" s="29">
        <v>1127166.6666666667</v>
      </c>
      <c r="D36" s="29"/>
      <c r="E36" s="29"/>
      <c r="F36" s="29"/>
    </row>
    <row r="37" spans="1:9" ht="15" thickBot="1" x14ac:dyDescent="0.35"/>
    <row r="38" spans="1:9" x14ac:dyDescent="0.3">
      <c r="A38" s="30"/>
      <c r="B38" s="30" t="s">
        <v>48</v>
      </c>
      <c r="C38" s="30" t="s">
        <v>37</v>
      </c>
      <c r="D38" s="30" t="s">
        <v>49</v>
      </c>
      <c r="E38" s="30" t="s">
        <v>50</v>
      </c>
      <c r="F38" s="30" t="s">
        <v>51</v>
      </c>
      <c r="G38" s="30" t="s">
        <v>52</v>
      </c>
      <c r="H38" s="30" t="s">
        <v>53</v>
      </c>
      <c r="I38" s="30" t="s">
        <v>54</v>
      </c>
    </row>
    <row r="39" spans="1:9" x14ac:dyDescent="0.3">
      <c r="A39" t="s">
        <v>55</v>
      </c>
      <c r="B39">
        <v>2830.2684858342154</v>
      </c>
      <c r="C39">
        <v>22.525199100708694</v>
      </c>
      <c r="D39">
        <v>125.64898863625</v>
      </c>
      <c r="E39">
        <v>1.7136282427689077E-11</v>
      </c>
      <c r="F39">
        <v>2775.1513092052915</v>
      </c>
      <c r="G39">
        <v>2885.3856624631394</v>
      </c>
      <c r="H39">
        <v>2775.1513092052915</v>
      </c>
      <c r="I39">
        <v>2885.3856624631394</v>
      </c>
    </row>
    <row r="40" spans="1:9" x14ac:dyDescent="0.3">
      <c r="A40" t="s">
        <v>12</v>
      </c>
      <c r="B40">
        <v>12.83522652492687</v>
      </c>
      <c r="C40">
        <v>3.2155824755388944</v>
      </c>
      <c r="D40">
        <v>3.9915712386683024</v>
      </c>
      <c r="E40">
        <v>7.1876961479248819E-3</v>
      </c>
      <c r="F40">
        <v>4.9669796571966698</v>
      </c>
      <c r="G40">
        <v>20.70347339265707</v>
      </c>
      <c r="H40">
        <v>4.9669796571966698</v>
      </c>
      <c r="I40">
        <v>20.70347339265707</v>
      </c>
    </row>
    <row r="41" spans="1:9" x14ac:dyDescent="0.3">
      <c r="A41" t="s">
        <v>26</v>
      </c>
      <c r="B41">
        <v>109.98772675152058</v>
      </c>
      <c r="C41">
        <v>15.474402675162501</v>
      </c>
      <c r="D41">
        <v>7.1077203469739469</v>
      </c>
      <c r="E41">
        <v>3.8976292580228633E-4</v>
      </c>
      <c r="F41">
        <v>72.123227456276027</v>
      </c>
      <c r="G41">
        <v>147.85222604676514</v>
      </c>
      <c r="H41">
        <v>72.123227456276027</v>
      </c>
      <c r="I41">
        <v>147.85222604676514</v>
      </c>
    </row>
    <row r="42" spans="1:9" x14ac:dyDescent="0.3">
      <c r="A42" t="s">
        <v>27</v>
      </c>
      <c r="B42">
        <v>166.10514850127691</v>
      </c>
      <c r="C42">
        <v>14.48388330367915</v>
      </c>
      <c r="D42">
        <v>11.468274427417088</v>
      </c>
      <c r="E42">
        <v>2.6389455581647251E-5</v>
      </c>
      <c r="F42">
        <v>130.66436279490364</v>
      </c>
      <c r="G42">
        <v>201.54593420765019</v>
      </c>
      <c r="H42">
        <v>130.66436279490364</v>
      </c>
      <c r="I42">
        <v>201.54593420765019</v>
      </c>
    </row>
    <row r="43" spans="1:9" x14ac:dyDescent="0.3">
      <c r="A43" t="s">
        <v>28</v>
      </c>
      <c r="B43">
        <v>-8648951639703800</v>
      </c>
      <c r="C43">
        <v>9786878412829572</v>
      </c>
      <c r="D43">
        <v>-0.88372934401289083</v>
      </c>
      <c r="E43">
        <v>0.41085092331825396</v>
      </c>
      <c r="F43">
        <v>-3.2596580413771352E+16</v>
      </c>
      <c r="G43">
        <v>1.5298677134363752E+16</v>
      </c>
      <c r="H43">
        <v>-3.2596580413771352E+16</v>
      </c>
      <c r="I43">
        <v>1.5298677134363752E+16</v>
      </c>
    </row>
    <row r="44" spans="1:9" ht="15" thickBot="1" x14ac:dyDescent="0.35">
      <c r="A44" s="29" t="s">
        <v>29</v>
      </c>
      <c r="B44" s="29">
        <v>249.13422034138924</v>
      </c>
      <c r="C44" s="29">
        <v>15.040085592822447</v>
      </c>
      <c r="D44" s="29">
        <v>16.56468101885558</v>
      </c>
      <c r="E44" s="29">
        <v>3.0870142048953914E-6</v>
      </c>
      <c r="F44" s="29">
        <v>212.33245666207728</v>
      </c>
      <c r="G44" s="29">
        <v>285.9359840207012</v>
      </c>
      <c r="H44" s="29">
        <v>212.33245666207728</v>
      </c>
      <c r="I44" s="29">
        <v>285.9359840207012</v>
      </c>
    </row>
    <row r="47" spans="1:9" ht="17.399999999999999" x14ac:dyDescent="0.35">
      <c r="A47" s="34" t="s">
        <v>57</v>
      </c>
    </row>
    <row r="48" spans="1:9" x14ac:dyDescent="0.3">
      <c r="A48" s="19" t="s">
        <v>58</v>
      </c>
      <c r="B48" s="19" t="s">
        <v>22</v>
      </c>
    </row>
    <row r="49" spans="1:2" x14ac:dyDescent="0.3">
      <c r="A49" s="35" t="s">
        <v>59</v>
      </c>
      <c r="B49" s="35">
        <v>1.3504835167414746</v>
      </c>
    </row>
    <row r="50" spans="1:2" x14ac:dyDescent="0.3">
      <c r="A50" s="35" t="s">
        <v>60</v>
      </c>
      <c r="B50" s="35">
        <v>0.68333846118256381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A92DF-15C9-41FA-AE81-605386F0653C}">
  <dimension ref="A1:I59"/>
  <sheetViews>
    <sheetView topLeftCell="A16" zoomScaleNormal="100" workbookViewId="0">
      <selection activeCell="K26" sqref="K26"/>
    </sheetView>
  </sheetViews>
  <sheetFormatPr defaultRowHeight="14.4" x14ac:dyDescent="0.3"/>
  <cols>
    <col min="3" max="3" width="13.88671875" bestFit="1" customWidth="1"/>
  </cols>
  <sheetData>
    <row r="1" spans="1:9" ht="17.399999999999999" x14ac:dyDescent="0.35">
      <c r="A1" s="39" t="s">
        <v>65</v>
      </c>
      <c r="B1" s="40"/>
      <c r="C1" s="40"/>
    </row>
    <row r="2" spans="1:9" x14ac:dyDescent="0.3">
      <c r="A2" s="40" t="s">
        <v>66</v>
      </c>
      <c r="B2" s="40"/>
      <c r="C2" s="40"/>
    </row>
    <row r="3" spans="1:9" ht="17.399999999999999" x14ac:dyDescent="0.35">
      <c r="A3" s="34" t="s">
        <v>61</v>
      </c>
      <c r="B3" s="34" t="s">
        <v>62</v>
      </c>
      <c r="C3" s="34" t="s">
        <v>12</v>
      </c>
      <c r="D3" s="34" t="s">
        <v>26</v>
      </c>
      <c r="E3" s="34" t="s">
        <v>27</v>
      </c>
      <c r="F3" s="34" t="s">
        <v>28</v>
      </c>
      <c r="G3" s="34" t="s">
        <v>29</v>
      </c>
      <c r="H3" s="34" t="s">
        <v>30</v>
      </c>
      <c r="I3" s="34" t="s">
        <v>63</v>
      </c>
    </row>
    <row r="4" spans="1:9" x14ac:dyDescent="0.3">
      <c r="A4">
        <v>1</v>
      </c>
      <c r="B4">
        <v>9.5</v>
      </c>
      <c r="C4">
        <v>1</v>
      </c>
      <c r="D4">
        <f>SIN(2*PI()/12*C4)</f>
        <v>0.49999999999999994</v>
      </c>
      <c r="E4">
        <f>COS(2*PI()*C4/12)</f>
        <v>0.86602540378443871</v>
      </c>
      <c r="F4">
        <f>SIN(4*PI()*C4/12)</f>
        <v>0.8660254037844386</v>
      </c>
      <c r="G4">
        <f>COS(4*PI()*C4/12)</f>
        <v>0.50000000000000011</v>
      </c>
      <c r="H4">
        <f>$B$54+$B$55*C4+$B$56*D4+$B$57*E4+$B$58*F4+$B$59*G4</f>
        <v>9.754073294751997</v>
      </c>
      <c r="I4">
        <f>ABS(B4-H4)</f>
        <v>0.25407329475199703</v>
      </c>
    </row>
    <row r="5" spans="1:9" x14ac:dyDescent="0.3">
      <c r="A5">
        <v>2</v>
      </c>
      <c r="B5">
        <v>9.1</v>
      </c>
      <c r="C5">
        <v>2</v>
      </c>
      <c r="D5">
        <f t="shared" ref="D5:D28" si="0">SIN(2*PI()/12*C5)</f>
        <v>0.8660254037844386</v>
      </c>
      <c r="E5">
        <f t="shared" ref="E5:E28" si="1">COS(2*PI()*C5/12)</f>
        <v>0.50000000000000011</v>
      </c>
      <c r="F5">
        <f t="shared" ref="F5:F28" si="2">SIN(4*PI()*C5/12)</f>
        <v>0.86602540378443871</v>
      </c>
      <c r="G5">
        <f t="shared" ref="G5:G28" si="3">COS(4*PI()*C5/12)</f>
        <v>-0.49999999999999978</v>
      </c>
      <c r="H5">
        <f t="shared" ref="H5:H28" si="4">$B$54+$B$55*C5+$B$56*D5+$B$57*E5+$B$58*F5+$B$59*G5</f>
        <v>8.6073776112237894</v>
      </c>
      <c r="I5">
        <f t="shared" ref="I5:I28" si="5">ABS(B5-H5)</f>
        <v>0.49262238877621023</v>
      </c>
    </row>
    <row r="6" spans="1:9" x14ac:dyDescent="0.3">
      <c r="A6">
        <v>3</v>
      </c>
      <c r="B6">
        <v>8.4</v>
      </c>
      <c r="C6">
        <v>3</v>
      </c>
      <c r="D6">
        <f t="shared" si="0"/>
        <v>1</v>
      </c>
      <c r="E6">
        <f t="shared" si="1"/>
        <v>6.1257422745431001E-17</v>
      </c>
      <c r="F6">
        <f t="shared" si="2"/>
        <v>1.22514845490862E-16</v>
      </c>
      <c r="G6">
        <f t="shared" si="3"/>
        <v>-1</v>
      </c>
      <c r="H6">
        <f t="shared" si="4"/>
        <v>7.5791119005501164</v>
      </c>
      <c r="I6">
        <f t="shared" si="5"/>
        <v>0.82088809944988395</v>
      </c>
    </row>
    <row r="7" spans="1:9" x14ac:dyDescent="0.3">
      <c r="A7">
        <v>4</v>
      </c>
      <c r="B7">
        <v>7.5</v>
      </c>
      <c r="C7">
        <v>4</v>
      </c>
      <c r="D7">
        <f t="shared" si="0"/>
        <v>0.86602540378443871</v>
      </c>
      <c r="E7">
        <f t="shared" si="1"/>
        <v>-0.49999999999999978</v>
      </c>
      <c r="F7">
        <f t="shared" si="2"/>
        <v>-0.86602540378443837</v>
      </c>
      <c r="G7">
        <f t="shared" si="3"/>
        <v>-0.50000000000000044</v>
      </c>
      <c r="H7">
        <f t="shared" si="4"/>
        <v>6.9380857418887896</v>
      </c>
      <c r="I7">
        <f t="shared" si="5"/>
        <v>0.56191425811121043</v>
      </c>
    </row>
    <row r="8" spans="1:9" x14ac:dyDescent="0.3">
      <c r="A8">
        <v>5</v>
      </c>
      <c r="B8">
        <v>7.4</v>
      </c>
      <c r="C8">
        <v>5</v>
      </c>
      <c r="D8">
        <f t="shared" si="0"/>
        <v>0.50000000000000033</v>
      </c>
      <c r="E8">
        <f t="shared" si="1"/>
        <v>-0.86602540378443871</v>
      </c>
      <c r="F8">
        <f t="shared" si="2"/>
        <v>-0.8660254037844386</v>
      </c>
      <c r="G8">
        <f t="shared" si="3"/>
        <v>0.50000000000000011</v>
      </c>
      <c r="H8">
        <f t="shared" si="4"/>
        <v>6.8173306528469135</v>
      </c>
      <c r="I8">
        <f t="shared" si="5"/>
        <v>0.58266934715308683</v>
      </c>
    </row>
    <row r="9" spans="1:9" x14ac:dyDescent="0.3">
      <c r="A9">
        <v>6</v>
      </c>
      <c r="B9">
        <v>7.4</v>
      </c>
      <c r="C9">
        <v>6</v>
      </c>
      <c r="D9">
        <f t="shared" si="0"/>
        <v>1.22514845490862E-16</v>
      </c>
      <c r="E9">
        <f t="shared" si="1"/>
        <v>-1</v>
      </c>
      <c r="F9">
        <f t="shared" si="2"/>
        <v>-2.45029690981724E-16</v>
      </c>
      <c r="G9">
        <f t="shared" si="3"/>
        <v>1</v>
      </c>
      <c r="H9">
        <f t="shared" si="4"/>
        <v>7.1557593369434258</v>
      </c>
      <c r="I9">
        <f t="shared" si="5"/>
        <v>0.24424066305657455</v>
      </c>
    </row>
    <row r="10" spans="1:9" x14ac:dyDescent="0.3">
      <c r="A10">
        <v>7</v>
      </c>
      <c r="B10">
        <v>7.6</v>
      </c>
      <c r="C10">
        <v>7</v>
      </c>
      <c r="D10">
        <f t="shared" si="0"/>
        <v>-0.49999999999999972</v>
      </c>
      <c r="E10">
        <f t="shared" si="1"/>
        <v>-0.86602540378443882</v>
      </c>
      <c r="F10">
        <f t="shared" si="2"/>
        <v>0.86602540378443837</v>
      </c>
      <c r="G10">
        <f t="shared" si="3"/>
        <v>0.50000000000000056</v>
      </c>
      <c r="H10">
        <f t="shared" si="4"/>
        <v>7.746551511680603</v>
      </c>
      <c r="I10">
        <f t="shared" si="5"/>
        <v>0.14655151168060332</v>
      </c>
    </row>
    <row r="11" spans="1:9" x14ac:dyDescent="0.3">
      <c r="A11">
        <v>8</v>
      </c>
      <c r="B11">
        <v>8.3000000000000007</v>
      </c>
      <c r="C11">
        <v>8</v>
      </c>
      <c r="D11">
        <f t="shared" si="0"/>
        <v>-0.86602540378443837</v>
      </c>
      <c r="E11">
        <f t="shared" si="1"/>
        <v>-0.50000000000000044</v>
      </c>
      <c r="F11">
        <f t="shared" si="2"/>
        <v>0.86602540378443915</v>
      </c>
      <c r="G11">
        <f t="shared" si="3"/>
        <v>-0.49999999999999922</v>
      </c>
      <c r="H11">
        <f t="shared" si="4"/>
        <v>8.3472838373560663</v>
      </c>
      <c r="I11">
        <f t="shared" si="5"/>
        <v>4.7283837356065561E-2</v>
      </c>
    </row>
    <row r="12" spans="1:9" x14ac:dyDescent="0.3">
      <c r="A12">
        <v>9</v>
      </c>
      <c r="B12">
        <v>8.6</v>
      </c>
      <c r="C12">
        <v>9</v>
      </c>
      <c r="D12">
        <f t="shared" si="0"/>
        <v>-1</v>
      </c>
      <c r="E12">
        <f t="shared" si="1"/>
        <v>-1.83772268236293E-16</v>
      </c>
      <c r="F12">
        <f t="shared" si="2"/>
        <v>3.67544536472586E-16</v>
      </c>
      <c r="G12">
        <f t="shared" si="3"/>
        <v>-1</v>
      </c>
      <c r="H12">
        <f t="shared" si="4"/>
        <v>8.7675821199892461</v>
      </c>
      <c r="I12">
        <f t="shared" si="5"/>
        <v>0.16758211998924644</v>
      </c>
    </row>
    <row r="13" spans="1:9" x14ac:dyDescent="0.3">
      <c r="A13">
        <v>10</v>
      </c>
      <c r="B13">
        <v>8.9</v>
      </c>
      <c r="C13">
        <v>10</v>
      </c>
      <c r="D13">
        <f t="shared" si="0"/>
        <v>-0.86602540378443904</v>
      </c>
      <c r="E13">
        <f t="shared" si="1"/>
        <v>0.50000000000000011</v>
      </c>
      <c r="F13">
        <f t="shared" si="2"/>
        <v>-0.86602540378443871</v>
      </c>
      <c r="G13">
        <f t="shared" si="3"/>
        <v>-0.49999999999999983</v>
      </c>
      <c r="H13">
        <f t="shared" si="4"/>
        <v>8.8881143865465742</v>
      </c>
      <c r="I13">
        <f t="shared" si="5"/>
        <v>1.1885613453426203E-2</v>
      </c>
    </row>
    <row r="14" spans="1:9" x14ac:dyDescent="0.3">
      <c r="A14">
        <v>11</v>
      </c>
      <c r="B14">
        <v>8.3000000000000007</v>
      </c>
      <c r="C14">
        <v>11</v>
      </c>
      <c r="D14">
        <f t="shared" si="0"/>
        <v>-0.50000000000000044</v>
      </c>
      <c r="E14">
        <f t="shared" si="1"/>
        <v>0.86602540378443837</v>
      </c>
      <c r="F14">
        <f t="shared" si="2"/>
        <v>-0.86602540378443915</v>
      </c>
      <c r="G14">
        <f t="shared" si="3"/>
        <v>0.49999999999999911</v>
      </c>
      <c r="H14">
        <f t="shared" si="4"/>
        <v>8.6378531896086965</v>
      </c>
      <c r="I14">
        <f t="shared" si="5"/>
        <v>0.33785318960869581</v>
      </c>
    </row>
    <row r="15" spans="1:9" x14ac:dyDescent="0.3">
      <c r="A15">
        <v>12</v>
      </c>
      <c r="B15">
        <v>7.4</v>
      </c>
      <c r="C15">
        <v>12</v>
      </c>
      <c r="D15">
        <f t="shared" si="0"/>
        <v>-2.45029690981724E-16</v>
      </c>
      <c r="E15">
        <f t="shared" si="1"/>
        <v>1</v>
      </c>
      <c r="F15">
        <f t="shared" si="2"/>
        <v>-4.90059381963448E-16</v>
      </c>
      <c r="G15">
        <f t="shared" si="3"/>
        <v>1</v>
      </c>
      <c r="H15">
        <f t="shared" si="4"/>
        <v>7.9904122897201848</v>
      </c>
      <c r="I15">
        <f t="shared" si="5"/>
        <v>0.59041228972018445</v>
      </c>
    </row>
    <row r="16" spans="1:9" x14ac:dyDescent="0.3">
      <c r="A16">
        <v>13</v>
      </c>
      <c r="B16">
        <v>6.2</v>
      </c>
      <c r="C16">
        <v>13</v>
      </c>
      <c r="D16">
        <f t="shared" si="0"/>
        <v>0.49999999999999928</v>
      </c>
      <c r="E16">
        <f t="shared" si="1"/>
        <v>0.8660254037844386</v>
      </c>
      <c r="F16">
        <f t="shared" si="2"/>
        <v>0.86602540378443871</v>
      </c>
      <c r="G16">
        <f t="shared" si="3"/>
        <v>0.49999999999999994</v>
      </c>
      <c r="H16">
        <f t="shared" si="4"/>
        <v>7.003134363254512</v>
      </c>
      <c r="I16">
        <f t="shared" si="5"/>
        <v>0.80313436325451182</v>
      </c>
    </row>
    <row r="17" spans="1:9" x14ac:dyDescent="0.3">
      <c r="A17">
        <v>14</v>
      </c>
      <c r="B17">
        <v>5.2</v>
      </c>
      <c r="C17">
        <v>14</v>
      </c>
      <c r="D17">
        <f t="shared" si="0"/>
        <v>0.86602540378443837</v>
      </c>
      <c r="E17">
        <f t="shared" si="1"/>
        <v>0.50000000000000056</v>
      </c>
      <c r="F17">
        <f t="shared" si="2"/>
        <v>0.86602540378443926</v>
      </c>
      <c r="G17">
        <f t="shared" si="3"/>
        <v>-0.499999999999999</v>
      </c>
      <c r="H17">
        <f t="shared" si="4"/>
        <v>5.8564386797263026</v>
      </c>
      <c r="I17">
        <f t="shared" si="5"/>
        <v>0.65643867972630243</v>
      </c>
    </row>
    <row r="18" spans="1:9" x14ac:dyDescent="0.3">
      <c r="A18">
        <v>15</v>
      </c>
      <c r="B18">
        <v>4.0999999999999996</v>
      </c>
      <c r="C18">
        <v>15</v>
      </c>
      <c r="D18">
        <f t="shared" si="0"/>
        <v>1</v>
      </c>
      <c r="E18">
        <f t="shared" si="1"/>
        <v>1.1944655334272802E-15</v>
      </c>
      <c r="F18">
        <f t="shared" si="2"/>
        <v>2.3889310668545605E-15</v>
      </c>
      <c r="G18">
        <f t="shared" si="3"/>
        <v>-1</v>
      </c>
      <c r="H18">
        <f t="shared" si="4"/>
        <v>4.8281729690526287</v>
      </c>
      <c r="I18">
        <f t="shared" si="5"/>
        <v>0.72817296905262907</v>
      </c>
    </row>
    <row r="19" spans="1:9" x14ac:dyDescent="0.3">
      <c r="A19">
        <v>16</v>
      </c>
      <c r="B19">
        <v>3.5</v>
      </c>
      <c r="C19">
        <v>16</v>
      </c>
      <c r="D19">
        <f t="shared" si="0"/>
        <v>0.86602540378443915</v>
      </c>
      <c r="E19">
        <f t="shared" si="1"/>
        <v>-0.49999999999999922</v>
      </c>
      <c r="F19">
        <f t="shared" si="2"/>
        <v>-0.86602540378443771</v>
      </c>
      <c r="G19">
        <f t="shared" si="3"/>
        <v>-0.50000000000000155</v>
      </c>
      <c r="H19">
        <f t="shared" si="4"/>
        <v>4.1871468103913028</v>
      </c>
      <c r="I19">
        <f t="shared" si="5"/>
        <v>0.68714681039130276</v>
      </c>
    </row>
    <row r="20" spans="1:9" x14ac:dyDescent="0.3">
      <c r="A20">
        <v>17</v>
      </c>
      <c r="B20">
        <v>3.6</v>
      </c>
      <c r="C20">
        <v>17</v>
      </c>
      <c r="D20">
        <f t="shared" si="0"/>
        <v>0.50000000000000133</v>
      </c>
      <c r="E20">
        <f t="shared" si="1"/>
        <v>-0.86602540378443882</v>
      </c>
      <c r="F20">
        <f t="shared" si="2"/>
        <v>-0.86602540378443837</v>
      </c>
      <c r="G20">
        <f t="shared" si="3"/>
        <v>0.50000000000000044</v>
      </c>
      <c r="H20">
        <f t="shared" si="4"/>
        <v>4.0663917213494249</v>
      </c>
      <c r="I20">
        <f t="shared" si="5"/>
        <v>0.46639172134942486</v>
      </c>
    </row>
    <row r="21" spans="1:9" x14ac:dyDescent="0.3">
      <c r="A21">
        <v>18</v>
      </c>
      <c r="B21">
        <v>4.2</v>
      </c>
      <c r="C21">
        <v>18</v>
      </c>
      <c r="D21">
        <f t="shared" si="0"/>
        <v>3.67544536472586E-16</v>
      </c>
      <c r="E21">
        <f t="shared" si="1"/>
        <v>-1</v>
      </c>
      <c r="F21">
        <f t="shared" si="2"/>
        <v>-7.3508907294517201E-16</v>
      </c>
      <c r="G21">
        <f t="shared" si="3"/>
        <v>1</v>
      </c>
      <c r="H21">
        <f t="shared" si="4"/>
        <v>4.4048204054459372</v>
      </c>
      <c r="I21">
        <f t="shared" si="5"/>
        <v>0.20482040544593705</v>
      </c>
    </row>
    <row r="22" spans="1:9" x14ac:dyDescent="0.3">
      <c r="A22">
        <v>19</v>
      </c>
      <c r="B22">
        <v>5</v>
      </c>
      <c r="C22">
        <v>19</v>
      </c>
      <c r="D22">
        <f t="shared" si="0"/>
        <v>-0.49999999999999917</v>
      </c>
      <c r="E22">
        <f t="shared" si="1"/>
        <v>-0.86602540378443915</v>
      </c>
      <c r="F22">
        <f t="shared" si="2"/>
        <v>0.86602540378443771</v>
      </c>
      <c r="G22">
        <f t="shared" si="3"/>
        <v>0.50000000000000167</v>
      </c>
      <c r="H22">
        <f t="shared" si="4"/>
        <v>4.9956125801831135</v>
      </c>
      <c r="I22">
        <f t="shared" si="5"/>
        <v>4.3874198168865064E-3</v>
      </c>
    </row>
    <row r="23" spans="1:9" x14ac:dyDescent="0.3">
      <c r="A23">
        <v>20</v>
      </c>
      <c r="B23">
        <v>5.7</v>
      </c>
      <c r="C23">
        <v>20</v>
      </c>
      <c r="D23">
        <f t="shared" si="0"/>
        <v>-0.86602540378443782</v>
      </c>
      <c r="E23">
        <f t="shared" si="1"/>
        <v>-0.49999999999999983</v>
      </c>
      <c r="F23">
        <f t="shared" si="2"/>
        <v>0.86602540378443849</v>
      </c>
      <c r="G23">
        <f t="shared" si="3"/>
        <v>-0.50000000000000033</v>
      </c>
      <c r="H23">
        <f t="shared" si="4"/>
        <v>5.5963449058585795</v>
      </c>
      <c r="I23">
        <f t="shared" si="5"/>
        <v>0.10365509414142071</v>
      </c>
    </row>
    <row r="24" spans="1:9" x14ac:dyDescent="0.3">
      <c r="A24">
        <v>21</v>
      </c>
      <c r="B24">
        <v>6.2</v>
      </c>
      <c r="C24">
        <v>21</v>
      </c>
      <c r="D24">
        <f t="shared" si="0"/>
        <v>-1</v>
      </c>
      <c r="E24">
        <f t="shared" si="1"/>
        <v>-4.28801959218017E-16</v>
      </c>
      <c r="F24">
        <f t="shared" si="2"/>
        <v>8.5760391843603401E-16</v>
      </c>
      <c r="G24">
        <f t="shared" si="3"/>
        <v>-1</v>
      </c>
      <c r="H24">
        <f t="shared" si="4"/>
        <v>6.0166431884917575</v>
      </c>
      <c r="I24">
        <f t="shared" si="5"/>
        <v>0.18335681150824268</v>
      </c>
    </row>
    <row r="25" spans="1:9" x14ac:dyDescent="0.3">
      <c r="A25">
        <v>22</v>
      </c>
      <c r="B25">
        <v>6.2</v>
      </c>
      <c r="C25">
        <v>22</v>
      </c>
      <c r="D25">
        <f t="shared" si="0"/>
        <v>-0.86602540378443915</v>
      </c>
      <c r="E25">
        <f t="shared" si="1"/>
        <v>0.49999999999999911</v>
      </c>
      <c r="F25">
        <f t="shared" si="2"/>
        <v>-0.8660254037844376</v>
      </c>
      <c r="G25">
        <f t="shared" si="3"/>
        <v>-0.50000000000000178</v>
      </c>
      <c r="H25">
        <f t="shared" si="4"/>
        <v>6.1371754550490856</v>
      </c>
      <c r="I25">
        <f t="shared" si="5"/>
        <v>6.2824544950914607E-2</v>
      </c>
    </row>
    <row r="26" spans="1:9" x14ac:dyDescent="0.3">
      <c r="A26">
        <v>23</v>
      </c>
      <c r="B26">
        <v>6.1</v>
      </c>
      <c r="C26">
        <v>23</v>
      </c>
      <c r="D26">
        <f t="shared" si="0"/>
        <v>-0.50000000000000144</v>
      </c>
      <c r="E26">
        <f t="shared" si="1"/>
        <v>0.86602540378443782</v>
      </c>
      <c r="F26">
        <f t="shared" si="2"/>
        <v>-0.86602540378444026</v>
      </c>
      <c r="G26">
        <f t="shared" si="3"/>
        <v>0.49999999999999711</v>
      </c>
      <c r="H26">
        <f t="shared" si="4"/>
        <v>5.8869142581112106</v>
      </c>
      <c r="I26">
        <f t="shared" si="5"/>
        <v>0.21308574188878904</v>
      </c>
    </row>
    <row r="27" spans="1:9" x14ac:dyDescent="0.3">
      <c r="A27">
        <v>24</v>
      </c>
      <c r="B27">
        <v>5.8</v>
      </c>
      <c r="C27">
        <v>24</v>
      </c>
      <c r="D27">
        <f t="shared" si="0"/>
        <v>-4.90059381963448E-16</v>
      </c>
      <c r="E27">
        <f t="shared" si="1"/>
        <v>1</v>
      </c>
      <c r="F27">
        <f t="shared" si="2"/>
        <v>-9.8011876392689601E-16</v>
      </c>
      <c r="G27">
        <f t="shared" si="3"/>
        <v>1</v>
      </c>
      <c r="H27">
        <f t="shared" si="4"/>
        <v>5.239473358222698</v>
      </c>
      <c r="I27">
        <f t="shared" si="5"/>
        <v>0.56052664177730183</v>
      </c>
    </row>
    <row r="28" spans="1:9" x14ac:dyDescent="0.3">
      <c r="A28">
        <v>25</v>
      </c>
      <c r="B28">
        <v>5.5</v>
      </c>
      <c r="C28">
        <v>25</v>
      </c>
      <c r="D28">
        <f t="shared" si="0"/>
        <v>0.49999999999999906</v>
      </c>
      <c r="E28">
        <f t="shared" si="1"/>
        <v>0.86602540378443826</v>
      </c>
      <c r="F28">
        <f t="shared" si="2"/>
        <v>0.86602540378443937</v>
      </c>
      <c r="G28">
        <f t="shared" si="3"/>
        <v>0.49999999999999883</v>
      </c>
      <c r="H28">
        <f t="shared" si="4"/>
        <v>4.2521954317570234</v>
      </c>
      <c r="I28">
        <f t="shared" si="5"/>
        <v>1.2478045682429766</v>
      </c>
    </row>
    <row r="29" spans="1:9" x14ac:dyDescent="0.3">
      <c r="H29" s="31" t="s">
        <v>64</v>
      </c>
      <c r="I29" s="32">
        <f>AVERAGE(I4:I28)</f>
        <v>0.40718889538615299</v>
      </c>
    </row>
    <row r="31" spans="1:9" x14ac:dyDescent="0.3">
      <c r="A31" s="19" t="s">
        <v>23</v>
      </c>
    </row>
    <row r="32" spans="1:9" x14ac:dyDescent="0.3">
      <c r="A32" s="36">
        <v>26</v>
      </c>
      <c r="B32" s="36"/>
      <c r="C32" s="36">
        <v>26</v>
      </c>
      <c r="D32" s="36">
        <f t="shared" ref="D32:D36" si="6">SIN(2*PI()/12*C32)</f>
        <v>0.86602540378443782</v>
      </c>
      <c r="E32" s="36">
        <f t="shared" ref="E32:E36" si="7">COS(2*PI()*C32/12)</f>
        <v>0.49999999999999994</v>
      </c>
      <c r="F32" s="36">
        <f t="shared" ref="F32:F36" si="8">SIN(4*PI()*C32/12)</f>
        <v>0.8660254037844386</v>
      </c>
      <c r="G32" s="36">
        <f t="shared" ref="G32:G36" si="9">COS(4*PI()*C32/12)</f>
        <v>-0.50000000000000011</v>
      </c>
      <c r="H32" s="36">
        <f>$B$54+$B$55*C32+$B$56*D32+$B$57*E32+$B$58*F32+$B$59*G32</f>
        <v>3.1054997482288145</v>
      </c>
    </row>
    <row r="33" spans="1:8" x14ac:dyDescent="0.3">
      <c r="A33" s="36">
        <v>27</v>
      </c>
      <c r="B33" s="36"/>
      <c r="C33" s="36">
        <v>27</v>
      </c>
      <c r="D33" s="36">
        <f t="shared" si="6"/>
        <v>1</v>
      </c>
      <c r="E33" s="36">
        <f t="shared" si="7"/>
        <v>5.51316804708879E-16</v>
      </c>
      <c r="F33" s="36">
        <f t="shared" si="8"/>
        <v>1.102633609417758E-15</v>
      </c>
      <c r="G33" s="36">
        <f t="shared" si="9"/>
        <v>-1</v>
      </c>
      <c r="H33" s="36">
        <f>$B$54+$B$55*C33+$B$56*D33+$B$57*E33+$B$58*F33+$B$59*G33</f>
        <v>2.0772340375551406</v>
      </c>
    </row>
    <row r="34" spans="1:8" x14ac:dyDescent="0.3">
      <c r="A34" s="36">
        <v>28</v>
      </c>
      <c r="B34" s="36"/>
      <c r="C34" s="36">
        <v>28</v>
      </c>
      <c r="D34" s="36">
        <f t="shared" si="6"/>
        <v>0.86602540378443926</v>
      </c>
      <c r="E34" s="36">
        <f t="shared" si="7"/>
        <v>-0.499999999999999</v>
      </c>
      <c r="F34" s="36">
        <f t="shared" si="8"/>
        <v>-0.86602540378443749</v>
      </c>
      <c r="G34" s="36">
        <f t="shared" si="9"/>
        <v>-0.500000000000002</v>
      </c>
      <c r="H34" s="36">
        <f>$B$54+$B$55*C34+$B$56*D34+$B$57*E34+$B$58*F34+$B$59*G34</f>
        <v>1.4362078788938144</v>
      </c>
    </row>
    <row r="35" spans="1:8" x14ac:dyDescent="0.3">
      <c r="A35" s="36">
        <v>29</v>
      </c>
      <c r="B35" s="36"/>
      <c r="C35" s="36">
        <v>29</v>
      </c>
      <c r="D35" s="36">
        <f t="shared" si="6"/>
        <v>0.50000000000000155</v>
      </c>
      <c r="E35" s="36">
        <f t="shared" si="7"/>
        <v>-0.8660254037844386</v>
      </c>
      <c r="F35" s="36">
        <f t="shared" si="8"/>
        <v>-0.8660254037844386</v>
      </c>
      <c r="G35" s="36">
        <f t="shared" si="9"/>
        <v>0.5</v>
      </c>
      <c r="H35" s="36">
        <f>$B$54+$B$55*C35+$B$56*D35+$B$57*E35+$B$58*F35+$B$59*G35</f>
        <v>1.3154527898519364</v>
      </c>
    </row>
    <row r="36" spans="1:8" x14ac:dyDescent="0.3">
      <c r="A36" s="36">
        <v>30</v>
      </c>
      <c r="B36" s="36"/>
      <c r="C36" s="36">
        <v>30</v>
      </c>
      <c r="D36" s="36">
        <f t="shared" si="6"/>
        <v>2.3889310668545605E-15</v>
      </c>
      <c r="E36" s="36">
        <f t="shared" si="7"/>
        <v>-1</v>
      </c>
      <c r="F36" s="36">
        <f t="shared" si="8"/>
        <v>-4.7778621337091209E-15</v>
      </c>
      <c r="G36" s="36">
        <f t="shared" si="9"/>
        <v>1</v>
      </c>
      <c r="H36" s="36">
        <f>$B$54+$B$55*C36+$B$56*D36+$B$57*E36+$B$58*F36+$B$59*G36</f>
        <v>1.6538814739484466</v>
      </c>
    </row>
    <row r="37" spans="1:8" s="38" customFormat="1" x14ac:dyDescent="0.3">
      <c r="A37" s="37"/>
      <c r="B37" s="37"/>
      <c r="C37" s="37"/>
      <c r="D37" s="37"/>
      <c r="E37" s="37"/>
      <c r="F37" s="37"/>
      <c r="G37" s="37"/>
      <c r="H37" s="37"/>
    </row>
    <row r="38" spans="1:8" x14ac:dyDescent="0.3">
      <c r="A38" t="s">
        <v>32</v>
      </c>
    </row>
    <row r="39" spans="1:8" ht="15" thickBot="1" x14ac:dyDescent="0.35"/>
    <row r="40" spans="1:8" x14ac:dyDescent="0.3">
      <c r="A40" s="28" t="s">
        <v>33</v>
      </c>
      <c r="B40" s="28"/>
    </row>
    <row r="41" spans="1:8" x14ac:dyDescent="0.3">
      <c r="A41" t="s">
        <v>34</v>
      </c>
      <c r="B41">
        <v>0.95571824033232056</v>
      </c>
    </row>
    <row r="42" spans="1:8" x14ac:dyDescent="0.3">
      <c r="A42" t="s">
        <v>35</v>
      </c>
      <c r="B42">
        <v>0.91339735490390728</v>
      </c>
    </row>
    <row r="43" spans="1:8" x14ac:dyDescent="0.3">
      <c r="A43" t="s">
        <v>36</v>
      </c>
      <c r="B43">
        <v>0.89060718514177761</v>
      </c>
    </row>
    <row r="44" spans="1:8" x14ac:dyDescent="0.3">
      <c r="A44" t="s">
        <v>37</v>
      </c>
      <c r="B44">
        <v>0.58550111594730092</v>
      </c>
    </row>
    <row r="45" spans="1:8" ht="15" thickBot="1" x14ac:dyDescent="0.35">
      <c r="A45" s="29" t="s">
        <v>38</v>
      </c>
      <c r="B45" s="29">
        <v>25</v>
      </c>
    </row>
    <row r="47" spans="1:8" ht="15" thickBot="1" x14ac:dyDescent="0.35">
      <c r="A47" t="s">
        <v>39</v>
      </c>
    </row>
    <row r="48" spans="1:8" x14ac:dyDescent="0.3">
      <c r="A48" s="30"/>
      <c r="B48" s="30" t="s">
        <v>40</v>
      </c>
      <c r="C48" s="30" t="s">
        <v>41</v>
      </c>
      <c r="D48" s="30" t="s">
        <v>42</v>
      </c>
      <c r="E48" s="30" t="s">
        <v>43</v>
      </c>
      <c r="F48" s="30" t="s">
        <v>44</v>
      </c>
    </row>
    <row r="49" spans="1:9" x14ac:dyDescent="0.3">
      <c r="A49" t="s">
        <v>45</v>
      </c>
      <c r="B49">
        <v>5</v>
      </c>
      <c r="C49">
        <v>68.696980421264811</v>
      </c>
      <c r="D49">
        <v>13.739396084252963</v>
      </c>
      <c r="E49">
        <v>40.078567401533689</v>
      </c>
      <c r="F49">
        <v>1.8905376057661785E-9</v>
      </c>
    </row>
    <row r="50" spans="1:9" x14ac:dyDescent="0.3">
      <c r="A50" t="s">
        <v>46</v>
      </c>
      <c r="B50">
        <v>19</v>
      </c>
      <c r="C50">
        <v>6.5134195787351601</v>
      </c>
      <c r="D50">
        <v>0.34281155677553476</v>
      </c>
    </row>
    <row r="51" spans="1:9" ht="15" thickBot="1" x14ac:dyDescent="0.35">
      <c r="A51" s="29" t="s">
        <v>47</v>
      </c>
      <c r="B51" s="29">
        <v>24</v>
      </c>
      <c r="C51" s="29">
        <v>75.210399999999964</v>
      </c>
      <c r="D51" s="29"/>
      <c r="E51" s="29"/>
      <c r="F51" s="29"/>
    </row>
    <row r="52" spans="1:9" ht="15" thickBot="1" x14ac:dyDescent="0.35"/>
    <row r="53" spans="1:9" x14ac:dyDescent="0.3">
      <c r="A53" s="30"/>
      <c r="B53" s="30" t="s">
        <v>48</v>
      </c>
      <c r="C53" s="30" t="s">
        <v>37</v>
      </c>
      <c r="D53" s="30" t="s">
        <v>49</v>
      </c>
      <c r="E53" s="30" t="s">
        <v>50</v>
      </c>
      <c r="F53" s="30" t="s">
        <v>51</v>
      </c>
      <c r="G53" s="30" t="s">
        <v>52</v>
      </c>
      <c r="H53" s="30" t="s">
        <v>53</v>
      </c>
      <c r="I53" s="30" t="s">
        <v>54</v>
      </c>
    </row>
    <row r="54" spans="1:9" x14ac:dyDescent="0.3">
      <c r="A54" t="s">
        <v>55</v>
      </c>
      <c r="B54">
        <v>9.5925532439866732</v>
      </c>
      <c r="C54">
        <v>0.25808969341875637</v>
      </c>
      <c r="D54">
        <v>37.167517683174346</v>
      </c>
      <c r="E54">
        <v>3.2978141566939667E-19</v>
      </c>
      <c r="F54">
        <v>9.0523653074663493</v>
      </c>
      <c r="G54">
        <v>10.132741180506997</v>
      </c>
      <c r="H54">
        <v>9.0523653074663493</v>
      </c>
      <c r="I54">
        <v>10.132741180506997</v>
      </c>
    </row>
    <row r="55" spans="1:9" x14ac:dyDescent="0.3">
      <c r="A55" t="s">
        <v>12</v>
      </c>
      <c r="B55">
        <v>-0.22924491095812399</v>
      </c>
      <c r="C55">
        <v>1.7678760753968747E-2</v>
      </c>
      <c r="D55">
        <v>-12.967250032311245</v>
      </c>
      <c r="E55">
        <v>6.9207631905020708E-11</v>
      </c>
      <c r="F55">
        <v>-0.26624698246831013</v>
      </c>
      <c r="G55">
        <v>-0.19224283944793782</v>
      </c>
      <c r="H55">
        <v>-0.26624698246831013</v>
      </c>
      <c r="I55">
        <v>-0.19224283944793782</v>
      </c>
    </row>
    <row r="56" spans="1:9" x14ac:dyDescent="0.3">
      <c r="A56" t="s">
        <v>26</v>
      </c>
      <c r="B56">
        <v>-1.2819698425939372</v>
      </c>
      <c r="C56">
        <v>0.1770308166803681</v>
      </c>
      <c r="D56">
        <v>-7.2415066858588455</v>
      </c>
      <c r="E56">
        <v>7.1206289447227857E-7</v>
      </c>
      <c r="F56">
        <v>-1.6524996002774954</v>
      </c>
      <c r="G56">
        <v>-0.91144008491037898</v>
      </c>
      <c r="H56">
        <v>-1.6524996002774954</v>
      </c>
      <c r="I56">
        <v>-0.91144008491037898</v>
      </c>
    </row>
    <row r="57" spans="1:9" x14ac:dyDescent="0.3">
      <c r="A57" t="s">
        <v>27</v>
      </c>
      <c r="B57">
        <v>1.1050612092627516</v>
      </c>
      <c r="C57">
        <v>0.16786384045365396</v>
      </c>
      <c r="D57">
        <v>6.5830807056261254</v>
      </c>
      <c r="E57">
        <v>2.6619265228745121E-6</v>
      </c>
      <c r="F57">
        <v>0.75371815332789516</v>
      </c>
      <c r="G57">
        <v>1.4564042651976081</v>
      </c>
      <c r="H57">
        <v>0.75371815332789516</v>
      </c>
      <c r="I57">
        <v>1.4564042651976081</v>
      </c>
    </row>
    <row r="58" spans="1:9" x14ac:dyDescent="0.3">
      <c r="A58" t="s">
        <v>28</v>
      </c>
      <c r="B58">
        <v>6.1049501373702901E-2</v>
      </c>
      <c r="C58">
        <v>0.16530093056924214</v>
      </c>
      <c r="D58">
        <v>0.3693233980200139</v>
      </c>
      <c r="E58">
        <v>0.7159706220385027</v>
      </c>
      <c r="F58">
        <v>-0.28492932252379877</v>
      </c>
      <c r="G58">
        <v>0.40702832527120458</v>
      </c>
      <c r="H58">
        <v>-0.28492932252379877</v>
      </c>
      <c r="I58">
        <v>0.40702832527120458</v>
      </c>
    </row>
    <row r="59" spans="1:9" ht="15" thickBot="1" x14ac:dyDescent="0.35">
      <c r="A59" s="29" t="s">
        <v>29</v>
      </c>
      <c r="B59" s="29">
        <v>4.3736767968248144E-2</v>
      </c>
      <c r="C59" s="29">
        <v>0.16964166999926925</v>
      </c>
      <c r="D59" s="29">
        <v>0.25781854168516821</v>
      </c>
      <c r="E59" s="29">
        <v>0.79931878062167017</v>
      </c>
      <c r="F59" s="29">
        <v>-0.31132732797021884</v>
      </c>
      <c r="G59" s="29">
        <v>0.39880086390671515</v>
      </c>
      <c r="H59" s="29">
        <v>-0.31132732797021884</v>
      </c>
      <c r="I59" s="29">
        <v>0.39880086390671515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5B1E-01D7-4DAC-BA33-F212001318A7}">
  <dimension ref="A1:E14"/>
  <sheetViews>
    <sheetView workbookViewId="0">
      <selection activeCell="E11" sqref="E11:E12"/>
    </sheetView>
  </sheetViews>
  <sheetFormatPr defaultRowHeight="14.4" x14ac:dyDescent="0.3"/>
  <cols>
    <col min="1" max="1" width="11.6640625" customWidth="1"/>
    <col min="2" max="2" width="17.33203125" customWidth="1"/>
    <col min="3" max="3" width="15.88671875" customWidth="1"/>
    <col min="4" max="4" width="18.44140625" customWidth="1"/>
    <col min="5" max="5" width="15.777343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6</v>
      </c>
      <c r="B2" s="4">
        <v>2</v>
      </c>
      <c r="C2" s="4">
        <v>150</v>
      </c>
      <c r="D2" s="5">
        <f>SUM(B2)</f>
        <v>2</v>
      </c>
      <c r="E2" s="4">
        <v>0</v>
      </c>
    </row>
    <row r="3" spans="1:5" x14ac:dyDescent="0.3">
      <c r="A3" s="3">
        <v>5</v>
      </c>
      <c r="B3" s="4">
        <v>6</v>
      </c>
      <c r="C3" s="4">
        <v>10</v>
      </c>
      <c r="D3" s="5">
        <f>SUM(B2:B3)</f>
        <v>8</v>
      </c>
      <c r="E3" s="4">
        <v>0</v>
      </c>
    </row>
    <row r="4" spans="1:5" x14ac:dyDescent="0.3">
      <c r="A4" s="3">
        <v>2</v>
      </c>
      <c r="B4" s="4">
        <v>17</v>
      </c>
      <c r="C4" s="4">
        <v>23</v>
      </c>
      <c r="D4" s="5">
        <f>SUM(B2:B4)</f>
        <v>25</v>
      </c>
      <c r="E4" s="5">
        <f t="shared" ref="E4:E5" si="0">D4-C4</f>
        <v>2</v>
      </c>
    </row>
    <row r="5" spans="1:5" x14ac:dyDescent="0.3">
      <c r="A5" s="3">
        <v>1</v>
      </c>
      <c r="B5" s="4">
        <v>28</v>
      </c>
      <c r="C5" s="4">
        <v>35</v>
      </c>
      <c r="D5" s="5">
        <f>SUM(B2:B5)</f>
        <v>53</v>
      </c>
      <c r="E5" s="5">
        <f t="shared" si="0"/>
        <v>18</v>
      </c>
    </row>
    <row r="6" spans="1:5" x14ac:dyDescent="0.3">
      <c r="A6" s="3">
        <v>4</v>
      </c>
      <c r="B6" s="4">
        <v>45</v>
      </c>
      <c r="C6" s="4">
        <v>117</v>
      </c>
      <c r="D6" s="5">
        <f>SUM(B2:B6)</f>
        <v>98</v>
      </c>
      <c r="E6" s="4">
        <v>0</v>
      </c>
    </row>
    <row r="7" spans="1:5" x14ac:dyDescent="0.3">
      <c r="A7" s="3">
        <v>7</v>
      </c>
      <c r="B7" s="4">
        <v>73</v>
      </c>
      <c r="C7" s="4">
        <v>80</v>
      </c>
      <c r="D7" s="5">
        <f>SUM(B2:B7)</f>
        <v>171</v>
      </c>
      <c r="E7" s="5">
        <f t="shared" ref="E7:E8" si="1">D7-C7</f>
        <v>91</v>
      </c>
    </row>
    <row r="8" spans="1:5" x14ac:dyDescent="0.3">
      <c r="A8" s="3">
        <v>3</v>
      </c>
      <c r="B8" s="4">
        <v>91</v>
      </c>
      <c r="C8" s="4">
        <v>140</v>
      </c>
      <c r="D8" s="5">
        <f>SUM(B2:B8)</f>
        <v>262</v>
      </c>
      <c r="E8" s="5">
        <f t="shared" si="1"/>
        <v>122</v>
      </c>
    </row>
    <row r="9" spans="1:5" x14ac:dyDescent="0.3">
      <c r="A9" s="6"/>
      <c r="B9" s="6"/>
      <c r="C9" s="6"/>
      <c r="D9" s="6"/>
      <c r="E9" s="6"/>
    </row>
    <row r="10" spans="1:5" x14ac:dyDescent="0.3">
      <c r="A10" s="6"/>
      <c r="B10" s="6"/>
      <c r="C10" s="6"/>
      <c r="D10" s="6"/>
      <c r="E10" s="6"/>
    </row>
    <row r="11" spans="1:5" x14ac:dyDescent="0.3">
      <c r="A11" s="6"/>
      <c r="B11" s="6"/>
      <c r="D11" s="6" t="s">
        <v>5</v>
      </c>
      <c r="E11" s="8">
        <f>AVERAGE(D2:D8)</f>
        <v>88.428571428571431</v>
      </c>
    </row>
    <row r="12" spans="1:5" x14ac:dyDescent="0.3">
      <c r="A12" s="6"/>
      <c r="B12" s="6"/>
      <c r="D12" s="6" t="s">
        <v>6</v>
      </c>
      <c r="E12" s="8">
        <f>AVERAGE(E2:E8)</f>
        <v>33.285714285714285</v>
      </c>
    </row>
    <row r="13" spans="1:5" x14ac:dyDescent="0.3">
      <c r="A13" s="6"/>
      <c r="B13" s="6"/>
      <c r="D13" s="6" t="s">
        <v>7</v>
      </c>
      <c r="E13" s="7">
        <f>MAX(E2:E8)</f>
        <v>122</v>
      </c>
    </row>
    <row r="14" spans="1:5" x14ac:dyDescent="0.3">
      <c r="A14" s="6"/>
      <c r="B14" s="6"/>
      <c r="D14" s="6" t="s">
        <v>8</v>
      </c>
      <c r="E14" s="7">
        <f>COUNTIF(E2:E8, "&gt;0")</f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3879-51BA-4225-9833-B2DBFE89FC98}">
  <dimension ref="A1:E14"/>
  <sheetViews>
    <sheetView workbookViewId="0">
      <selection activeCell="E11" sqref="E11:E12"/>
    </sheetView>
  </sheetViews>
  <sheetFormatPr defaultRowHeight="14.4" x14ac:dyDescent="0.3"/>
  <cols>
    <col min="2" max="2" width="19.6640625" customWidth="1"/>
    <col min="3" max="3" width="15.44140625" customWidth="1"/>
    <col min="4" max="4" width="18.109375" customWidth="1"/>
    <col min="5" max="5" width="16.4414062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9" t="s">
        <v>3</v>
      </c>
      <c r="E1" s="9" t="s">
        <v>4</v>
      </c>
    </row>
    <row r="2" spans="1:5" x14ac:dyDescent="0.3">
      <c r="A2" s="3">
        <v>5</v>
      </c>
      <c r="B2" s="4">
        <v>6</v>
      </c>
      <c r="C2" s="4">
        <v>10</v>
      </c>
      <c r="D2" s="5">
        <f>SUM(B2)</f>
        <v>6</v>
      </c>
      <c r="E2" s="4">
        <v>0</v>
      </c>
    </row>
    <row r="3" spans="1:5" x14ac:dyDescent="0.3">
      <c r="A3" s="3">
        <v>2</v>
      </c>
      <c r="B3" s="4">
        <v>17</v>
      </c>
      <c r="C3" s="4">
        <v>23</v>
      </c>
      <c r="D3" s="5">
        <f>SUM(B2:B3)</f>
        <v>23</v>
      </c>
      <c r="E3" s="5">
        <f t="shared" ref="E3:E8" si="0">D3-C3</f>
        <v>0</v>
      </c>
    </row>
    <row r="4" spans="1:5" x14ac:dyDescent="0.3">
      <c r="A4" s="3">
        <v>1</v>
      </c>
      <c r="B4" s="4">
        <v>28</v>
      </c>
      <c r="C4" s="4">
        <v>35</v>
      </c>
      <c r="D4" s="5">
        <f>SUM(B2:B4)</f>
        <v>51</v>
      </c>
      <c r="E4" s="5">
        <f t="shared" si="0"/>
        <v>16</v>
      </c>
    </row>
    <row r="5" spans="1:5" x14ac:dyDescent="0.3">
      <c r="A5" s="3">
        <v>7</v>
      </c>
      <c r="B5" s="4">
        <v>73</v>
      </c>
      <c r="C5" s="4">
        <v>80</v>
      </c>
      <c r="D5" s="5">
        <f>SUM(B2:B5)</f>
        <v>124</v>
      </c>
      <c r="E5" s="5">
        <f t="shared" si="0"/>
        <v>44</v>
      </c>
    </row>
    <row r="6" spans="1:5" x14ac:dyDescent="0.3">
      <c r="A6" s="3">
        <v>4</v>
      </c>
      <c r="B6" s="4">
        <v>45</v>
      </c>
      <c r="C6" s="4">
        <v>117</v>
      </c>
      <c r="D6" s="5">
        <f>SUM(B2:B6)</f>
        <v>169</v>
      </c>
      <c r="E6" s="5">
        <f t="shared" si="0"/>
        <v>52</v>
      </c>
    </row>
    <row r="7" spans="1:5" x14ac:dyDescent="0.3">
      <c r="A7" s="3">
        <v>3</v>
      </c>
      <c r="B7" s="4">
        <v>91</v>
      </c>
      <c r="C7" s="4">
        <v>140</v>
      </c>
      <c r="D7" s="5">
        <f>SUM(B2:B7)</f>
        <v>260</v>
      </c>
      <c r="E7" s="5">
        <f t="shared" si="0"/>
        <v>120</v>
      </c>
    </row>
    <row r="8" spans="1:5" x14ac:dyDescent="0.3">
      <c r="A8" s="3">
        <v>6</v>
      </c>
      <c r="B8" s="4">
        <v>2</v>
      </c>
      <c r="C8" s="4">
        <v>150</v>
      </c>
      <c r="D8" s="5">
        <f>SUM(B2:B8)</f>
        <v>262</v>
      </c>
      <c r="E8" s="5">
        <f t="shared" si="0"/>
        <v>112</v>
      </c>
    </row>
    <row r="11" spans="1:5" x14ac:dyDescent="0.3">
      <c r="D11" s="6" t="s">
        <v>5</v>
      </c>
      <c r="E11" s="10">
        <f>AVERAGE(D2:D8)</f>
        <v>127.85714285714286</v>
      </c>
    </row>
    <row r="12" spans="1:5" x14ac:dyDescent="0.3">
      <c r="D12" s="6" t="s">
        <v>6</v>
      </c>
      <c r="E12" s="10">
        <f>AVERAGE(E2:E8)</f>
        <v>49.142857142857146</v>
      </c>
    </row>
    <row r="13" spans="1:5" x14ac:dyDescent="0.3">
      <c r="D13" s="6" t="s">
        <v>7</v>
      </c>
      <c r="E13" s="7">
        <f>MAX(E2:E8)</f>
        <v>120</v>
      </c>
    </row>
    <row r="14" spans="1:5" x14ac:dyDescent="0.3">
      <c r="D14" s="6" t="s">
        <v>8</v>
      </c>
      <c r="E14" s="7">
        <f>COUNTIF(E2:E8, "&gt;0")</f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3E17-740F-41EB-848E-93767029C4A4}">
  <dimension ref="A1:E14"/>
  <sheetViews>
    <sheetView workbookViewId="0">
      <selection activeCell="E11" sqref="E11:E12"/>
    </sheetView>
  </sheetViews>
  <sheetFormatPr defaultRowHeight="14.4" x14ac:dyDescent="0.3"/>
  <cols>
    <col min="2" max="2" width="17.6640625" customWidth="1"/>
    <col min="3" max="3" width="15.77734375" customWidth="1"/>
    <col min="4" max="4" width="19.109375" customWidth="1"/>
    <col min="5" max="5" width="15.886718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9" t="s">
        <v>3</v>
      </c>
      <c r="E1" s="9" t="s">
        <v>4</v>
      </c>
    </row>
    <row r="2" spans="1:5" x14ac:dyDescent="0.3">
      <c r="A2" s="3">
        <v>1</v>
      </c>
      <c r="B2" s="4">
        <v>28</v>
      </c>
      <c r="C2" s="4">
        <v>35</v>
      </c>
      <c r="D2" s="5">
        <f>SUM(B2)</f>
        <v>28</v>
      </c>
      <c r="E2" s="4">
        <v>0</v>
      </c>
    </row>
    <row r="3" spans="1:5" x14ac:dyDescent="0.3">
      <c r="A3" s="3">
        <v>2</v>
      </c>
      <c r="B3" s="4">
        <v>17</v>
      </c>
      <c r="C3" s="4">
        <v>23</v>
      </c>
      <c r="D3" s="5">
        <f>SUM(B2:B3)</f>
        <v>45</v>
      </c>
      <c r="E3" s="5">
        <f>D3-C3</f>
        <v>22</v>
      </c>
    </row>
    <row r="4" spans="1:5" x14ac:dyDescent="0.3">
      <c r="A4" s="3">
        <v>3</v>
      </c>
      <c r="B4" s="4">
        <v>91</v>
      </c>
      <c r="C4" s="4">
        <v>140</v>
      </c>
      <c r="D4" s="5">
        <f>SUM(B2:B4)</f>
        <v>136</v>
      </c>
      <c r="E4" s="4">
        <v>0</v>
      </c>
    </row>
    <row r="5" spans="1:5" x14ac:dyDescent="0.3">
      <c r="A5" s="3">
        <v>4</v>
      </c>
      <c r="B5" s="4">
        <v>45</v>
      </c>
      <c r="C5" s="4">
        <v>117</v>
      </c>
      <c r="D5" s="5">
        <f>SUM(B2:B5)</f>
        <v>181</v>
      </c>
      <c r="E5" s="5">
        <f t="shared" ref="E5:E8" si="0">D5-C5</f>
        <v>64</v>
      </c>
    </row>
    <row r="6" spans="1:5" x14ac:dyDescent="0.3">
      <c r="A6" s="3">
        <v>5</v>
      </c>
      <c r="B6" s="4">
        <v>6</v>
      </c>
      <c r="C6" s="4">
        <v>10</v>
      </c>
      <c r="D6" s="5">
        <f>SUM(B2:B6)</f>
        <v>187</v>
      </c>
      <c r="E6" s="5">
        <f t="shared" si="0"/>
        <v>177</v>
      </c>
    </row>
    <row r="7" spans="1:5" x14ac:dyDescent="0.3">
      <c r="A7" s="3">
        <v>6</v>
      </c>
      <c r="B7" s="4">
        <v>2</v>
      </c>
      <c r="C7" s="4">
        <v>150</v>
      </c>
      <c r="D7" s="5">
        <f>SUM(B2:B7)</f>
        <v>189</v>
      </c>
      <c r="E7" s="5">
        <f t="shared" si="0"/>
        <v>39</v>
      </c>
    </row>
    <row r="8" spans="1:5" x14ac:dyDescent="0.3">
      <c r="A8" s="3">
        <v>7</v>
      </c>
      <c r="B8" s="4">
        <v>73</v>
      </c>
      <c r="C8" s="4">
        <v>80</v>
      </c>
      <c r="D8" s="5">
        <f>SUM(B2:B8)</f>
        <v>262</v>
      </c>
      <c r="E8" s="5">
        <f t="shared" si="0"/>
        <v>182</v>
      </c>
    </row>
    <row r="11" spans="1:5" x14ac:dyDescent="0.3">
      <c r="D11" s="7" t="s">
        <v>5</v>
      </c>
      <c r="E11" s="10">
        <f>AVERAGE(D2:D8)</f>
        <v>146.85714285714286</v>
      </c>
    </row>
    <row r="12" spans="1:5" x14ac:dyDescent="0.3">
      <c r="D12" s="7" t="s">
        <v>6</v>
      </c>
      <c r="E12" s="10">
        <f>AVERAGE(E2:E8)</f>
        <v>69.142857142857139</v>
      </c>
    </row>
    <row r="13" spans="1:5" x14ac:dyDescent="0.3">
      <c r="D13" s="7" t="s">
        <v>7</v>
      </c>
      <c r="E13" s="7">
        <f>MAX(E2:E8)</f>
        <v>182</v>
      </c>
    </row>
    <row r="14" spans="1:5" x14ac:dyDescent="0.3">
      <c r="D14" s="7" t="s">
        <v>8</v>
      </c>
      <c r="E14" s="7">
        <f>COUNTIF(E2:E8, "&gt;0")</f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5D10-89EA-4746-A5D8-4F812E7BA4C5}">
  <dimension ref="A1:J44"/>
  <sheetViews>
    <sheetView tabSelected="1" workbookViewId="0">
      <selection activeCell="G20" sqref="G20"/>
    </sheetView>
  </sheetViews>
  <sheetFormatPr defaultRowHeight="14.4" x14ac:dyDescent="0.3"/>
  <cols>
    <col min="1" max="1" width="15.5546875" customWidth="1"/>
    <col min="2" max="2" width="18.88671875" customWidth="1"/>
    <col min="3" max="3" width="18.109375" customWidth="1"/>
    <col min="4" max="4" width="17.77734375" customWidth="1"/>
    <col min="7" max="8" width="18.109375" customWidth="1"/>
    <col min="9" max="9" width="19.21875" customWidth="1"/>
    <col min="10" max="10" width="15.33203125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9</v>
      </c>
      <c r="F1" s="11" t="s">
        <v>0</v>
      </c>
      <c r="G1" s="9" t="s">
        <v>1</v>
      </c>
      <c r="H1" s="9" t="s">
        <v>2</v>
      </c>
      <c r="I1" s="2" t="s">
        <v>3</v>
      </c>
      <c r="J1" s="9" t="s">
        <v>4</v>
      </c>
    </row>
    <row r="2" spans="1:10" x14ac:dyDescent="0.3">
      <c r="A2" s="3">
        <v>1</v>
      </c>
      <c r="B2" s="4">
        <v>28</v>
      </c>
      <c r="C2" s="4">
        <v>35</v>
      </c>
      <c r="D2" s="5">
        <f t="shared" ref="D2:D8" si="0">C2/B2</f>
        <v>1.25</v>
      </c>
      <c r="F2" s="3">
        <v>7</v>
      </c>
      <c r="G2" s="4">
        <v>73</v>
      </c>
      <c r="H2" s="4">
        <v>80</v>
      </c>
      <c r="I2" s="5">
        <f>SUM(G2)</f>
        <v>73</v>
      </c>
      <c r="J2" s="4">
        <v>0</v>
      </c>
    </row>
    <row r="3" spans="1:10" x14ac:dyDescent="0.3">
      <c r="A3" s="3">
        <v>2</v>
      </c>
      <c r="B3" s="4">
        <v>17</v>
      </c>
      <c r="C3" s="4">
        <v>23</v>
      </c>
      <c r="D3" s="5">
        <f t="shared" si="0"/>
        <v>1.3529411764705883</v>
      </c>
      <c r="F3" s="3">
        <v>5</v>
      </c>
      <c r="G3" s="4">
        <v>6</v>
      </c>
      <c r="H3" s="4">
        <v>10</v>
      </c>
      <c r="I3" s="5">
        <f>SUM(G2:G3)</f>
        <v>79</v>
      </c>
      <c r="J3" s="5">
        <f t="shared" ref="J3:J8" si="1">I3-H3</f>
        <v>69</v>
      </c>
    </row>
    <row r="4" spans="1:10" x14ac:dyDescent="0.3">
      <c r="A4" s="3">
        <v>3</v>
      </c>
      <c r="B4" s="4">
        <v>91</v>
      </c>
      <c r="C4" s="4">
        <v>140</v>
      </c>
      <c r="D4" s="5">
        <f t="shared" si="0"/>
        <v>1.5384615384615385</v>
      </c>
      <c r="F4" s="3">
        <v>2</v>
      </c>
      <c r="G4" s="4">
        <v>17</v>
      </c>
      <c r="H4" s="4">
        <v>23</v>
      </c>
      <c r="I4" s="5">
        <f>SUM(G2:G4)</f>
        <v>96</v>
      </c>
      <c r="J4" s="5">
        <f t="shared" si="1"/>
        <v>73</v>
      </c>
    </row>
    <row r="5" spans="1:10" x14ac:dyDescent="0.3">
      <c r="A5" s="3">
        <v>4</v>
      </c>
      <c r="B5" s="4">
        <v>45</v>
      </c>
      <c r="C5" s="4">
        <v>117</v>
      </c>
      <c r="D5" s="5">
        <f t="shared" si="0"/>
        <v>2.6</v>
      </c>
      <c r="F5" s="3">
        <v>1</v>
      </c>
      <c r="G5" s="4">
        <v>28</v>
      </c>
      <c r="H5" s="4">
        <v>35</v>
      </c>
      <c r="I5" s="5">
        <f>SUM(G2:G5)</f>
        <v>124</v>
      </c>
      <c r="J5" s="5">
        <f t="shared" si="1"/>
        <v>89</v>
      </c>
    </row>
    <row r="6" spans="1:10" x14ac:dyDescent="0.3">
      <c r="A6" s="3">
        <v>5</v>
      </c>
      <c r="B6" s="4">
        <v>6</v>
      </c>
      <c r="C6" s="4">
        <v>10</v>
      </c>
      <c r="D6" s="5">
        <f t="shared" si="0"/>
        <v>1.6666666666666667</v>
      </c>
      <c r="F6" s="3">
        <v>4</v>
      </c>
      <c r="G6" s="4">
        <v>45</v>
      </c>
      <c r="H6" s="4">
        <v>117</v>
      </c>
      <c r="I6" s="5">
        <f>SUM(G2:G6)</f>
        <v>169</v>
      </c>
      <c r="J6" s="5">
        <f t="shared" si="1"/>
        <v>52</v>
      </c>
    </row>
    <row r="7" spans="1:10" x14ac:dyDescent="0.3">
      <c r="A7" s="3">
        <v>6</v>
      </c>
      <c r="B7" s="4">
        <v>2</v>
      </c>
      <c r="C7" s="4">
        <v>150</v>
      </c>
      <c r="D7" s="5">
        <f t="shared" si="0"/>
        <v>75</v>
      </c>
      <c r="F7" s="3">
        <v>6</v>
      </c>
      <c r="G7" s="4">
        <v>2</v>
      </c>
      <c r="H7" s="4">
        <v>150</v>
      </c>
      <c r="I7" s="5">
        <f>SUM(G2:G7)</f>
        <v>171</v>
      </c>
      <c r="J7" s="5">
        <f t="shared" si="1"/>
        <v>21</v>
      </c>
    </row>
    <row r="8" spans="1:10" x14ac:dyDescent="0.3">
      <c r="A8" s="12">
        <v>7</v>
      </c>
      <c r="B8" s="13">
        <v>73</v>
      </c>
      <c r="C8" s="13">
        <v>80</v>
      </c>
      <c r="D8" s="14">
        <f t="shared" si="0"/>
        <v>1.095890410958904</v>
      </c>
      <c r="F8" s="3">
        <v>3</v>
      </c>
      <c r="G8" s="4">
        <v>91</v>
      </c>
      <c r="H8" s="4">
        <v>140</v>
      </c>
      <c r="I8" s="5">
        <f>SUM(G2:G8)</f>
        <v>262</v>
      </c>
      <c r="J8" s="5">
        <f t="shared" si="1"/>
        <v>122</v>
      </c>
    </row>
    <row r="9" spans="1:10" x14ac:dyDescent="0.3">
      <c r="A9" s="15" t="s">
        <v>10</v>
      </c>
      <c r="B9" s="15">
        <v>0</v>
      </c>
    </row>
    <row r="11" spans="1:10" x14ac:dyDescent="0.3">
      <c r="A11" s="11" t="s">
        <v>0</v>
      </c>
      <c r="B11" s="9" t="s">
        <v>1</v>
      </c>
      <c r="C11" s="9" t="s">
        <v>2</v>
      </c>
      <c r="D11" s="9" t="s">
        <v>9</v>
      </c>
      <c r="I11" s="7" t="s">
        <v>5</v>
      </c>
      <c r="J11" s="7">
        <f>AVERAGE(I2:I8)</f>
        <v>139.14285714285714</v>
      </c>
    </row>
    <row r="12" spans="1:10" x14ac:dyDescent="0.3">
      <c r="A12" s="16">
        <v>1</v>
      </c>
      <c r="B12" s="5">
        <v>28</v>
      </c>
      <c r="C12" s="5">
        <v>35</v>
      </c>
      <c r="D12" s="5">
        <f t="shared" ref="D12:D17" si="2">(C12-$B$18)/B12</f>
        <v>-1.3571428571428572</v>
      </c>
      <c r="I12" s="7" t="s">
        <v>6</v>
      </c>
      <c r="J12" s="7">
        <f>AVERAGE(J2:J8)</f>
        <v>60.857142857142854</v>
      </c>
    </row>
    <row r="13" spans="1:10" x14ac:dyDescent="0.3">
      <c r="A13" s="16">
        <v>2</v>
      </c>
      <c r="B13" s="5">
        <v>17</v>
      </c>
      <c r="C13" s="5">
        <v>23</v>
      </c>
      <c r="D13" s="5">
        <f t="shared" si="2"/>
        <v>-2.9411764705882355</v>
      </c>
      <c r="I13" s="7" t="s">
        <v>7</v>
      </c>
      <c r="J13" s="7">
        <f>MAX(J2:J8)</f>
        <v>122</v>
      </c>
    </row>
    <row r="14" spans="1:10" x14ac:dyDescent="0.3">
      <c r="A14" s="16">
        <v>3</v>
      </c>
      <c r="B14" s="5">
        <v>91</v>
      </c>
      <c r="C14" s="5">
        <v>140</v>
      </c>
      <c r="D14" s="5">
        <f t="shared" si="2"/>
        <v>0.73626373626373631</v>
      </c>
      <c r="I14" s="7" t="s">
        <v>8</v>
      </c>
      <c r="J14" s="7">
        <f>COUNTIF(J2:J8, "&gt;0")</f>
        <v>6</v>
      </c>
    </row>
    <row r="15" spans="1:10" x14ac:dyDescent="0.3">
      <c r="A15" s="16">
        <v>4</v>
      </c>
      <c r="B15" s="5">
        <v>45</v>
      </c>
      <c r="C15" s="5">
        <v>117</v>
      </c>
      <c r="D15" s="5">
        <f t="shared" si="2"/>
        <v>0.97777777777777775</v>
      </c>
    </row>
    <row r="16" spans="1:10" x14ac:dyDescent="0.3">
      <c r="A16" s="12">
        <v>5</v>
      </c>
      <c r="B16" s="13">
        <v>6</v>
      </c>
      <c r="C16" s="13">
        <v>10</v>
      </c>
      <c r="D16" s="14">
        <f t="shared" si="2"/>
        <v>-10.5</v>
      </c>
    </row>
    <row r="17" spans="1:4" x14ac:dyDescent="0.3">
      <c r="A17" s="16">
        <v>6</v>
      </c>
      <c r="B17" s="5">
        <v>2</v>
      </c>
      <c r="C17" s="5">
        <v>150</v>
      </c>
      <c r="D17" s="5">
        <f t="shared" si="2"/>
        <v>38.5</v>
      </c>
    </row>
    <row r="18" spans="1:4" x14ac:dyDescent="0.3">
      <c r="A18" s="15" t="s">
        <v>10</v>
      </c>
      <c r="B18" s="15">
        <v>73</v>
      </c>
    </row>
    <row r="20" spans="1:4" x14ac:dyDescent="0.3">
      <c r="A20" s="11" t="s">
        <v>0</v>
      </c>
      <c r="B20" s="9" t="s">
        <v>1</v>
      </c>
      <c r="C20" s="9" t="s">
        <v>2</v>
      </c>
      <c r="D20" s="9" t="s">
        <v>9</v>
      </c>
    </row>
    <row r="21" spans="1:4" x14ac:dyDescent="0.3">
      <c r="A21" s="16">
        <v>1</v>
      </c>
      <c r="B21" s="5">
        <v>28</v>
      </c>
      <c r="C21" s="5">
        <v>35</v>
      </c>
      <c r="D21" s="5">
        <f t="shared" ref="D21:D25" si="3">(C21-$B$26)/B21</f>
        <v>-1.5714285714285714</v>
      </c>
    </row>
    <row r="22" spans="1:4" x14ac:dyDescent="0.3">
      <c r="A22" s="12">
        <v>2</v>
      </c>
      <c r="B22" s="13">
        <v>17</v>
      </c>
      <c r="C22" s="13">
        <v>23</v>
      </c>
      <c r="D22" s="14">
        <f t="shared" si="3"/>
        <v>-3.2941176470588234</v>
      </c>
    </row>
    <row r="23" spans="1:4" x14ac:dyDescent="0.3">
      <c r="A23" s="16">
        <v>3</v>
      </c>
      <c r="B23" s="5">
        <v>91</v>
      </c>
      <c r="C23" s="5">
        <v>140</v>
      </c>
      <c r="D23" s="5">
        <f t="shared" si="3"/>
        <v>0.67032967032967028</v>
      </c>
    </row>
    <row r="24" spans="1:4" x14ac:dyDescent="0.3">
      <c r="A24" s="16">
        <v>4</v>
      </c>
      <c r="B24" s="5">
        <v>45</v>
      </c>
      <c r="C24" s="5">
        <v>117</v>
      </c>
      <c r="D24" s="5">
        <f t="shared" si="3"/>
        <v>0.84444444444444444</v>
      </c>
    </row>
    <row r="25" spans="1:4" x14ac:dyDescent="0.3">
      <c r="A25" s="16">
        <v>6</v>
      </c>
      <c r="B25" s="5">
        <v>2</v>
      </c>
      <c r="C25" s="5">
        <v>150</v>
      </c>
      <c r="D25" s="5">
        <f t="shared" si="3"/>
        <v>35.5</v>
      </c>
    </row>
    <row r="26" spans="1:4" x14ac:dyDescent="0.3">
      <c r="A26" s="17" t="s">
        <v>10</v>
      </c>
      <c r="B26" s="15">
        <v>79</v>
      </c>
    </row>
    <row r="28" spans="1:4" x14ac:dyDescent="0.3">
      <c r="A28" s="11" t="s">
        <v>0</v>
      </c>
      <c r="B28" s="9" t="s">
        <v>1</v>
      </c>
      <c r="C28" s="9" t="s">
        <v>2</v>
      </c>
      <c r="D28" s="9" t="s">
        <v>9</v>
      </c>
    </row>
    <row r="29" spans="1:4" x14ac:dyDescent="0.3">
      <c r="A29" s="12">
        <v>1</v>
      </c>
      <c r="B29" s="13">
        <v>28</v>
      </c>
      <c r="C29" s="13">
        <v>35</v>
      </c>
      <c r="D29" s="14">
        <f t="shared" ref="D29:D32" si="4">(C29-$B$33)/B29</f>
        <v>-2.1785714285714284</v>
      </c>
    </row>
    <row r="30" spans="1:4" x14ac:dyDescent="0.3">
      <c r="A30" s="16">
        <v>3</v>
      </c>
      <c r="B30" s="5">
        <v>91</v>
      </c>
      <c r="C30" s="5">
        <v>140</v>
      </c>
      <c r="D30" s="5">
        <f t="shared" si="4"/>
        <v>0.48351648351648352</v>
      </c>
    </row>
    <row r="31" spans="1:4" x14ac:dyDescent="0.3">
      <c r="A31" s="16">
        <v>4</v>
      </c>
      <c r="B31" s="5">
        <v>45</v>
      </c>
      <c r="C31" s="5">
        <v>117</v>
      </c>
      <c r="D31" s="5">
        <f t="shared" si="4"/>
        <v>0.46666666666666667</v>
      </c>
    </row>
    <row r="32" spans="1:4" x14ac:dyDescent="0.3">
      <c r="A32" s="16">
        <v>6</v>
      </c>
      <c r="B32" s="5">
        <v>2</v>
      </c>
      <c r="C32" s="5">
        <v>150</v>
      </c>
      <c r="D32" s="5">
        <f t="shared" si="4"/>
        <v>27</v>
      </c>
    </row>
    <row r="33" spans="1:4" x14ac:dyDescent="0.3">
      <c r="A33" s="17" t="s">
        <v>10</v>
      </c>
      <c r="B33" s="17">
        <f>79+17</f>
        <v>96</v>
      </c>
    </row>
    <row r="35" spans="1:4" x14ac:dyDescent="0.3">
      <c r="A35" s="11" t="s">
        <v>0</v>
      </c>
      <c r="B35" s="9" t="s">
        <v>1</v>
      </c>
      <c r="C35" s="9" t="s">
        <v>2</v>
      </c>
      <c r="D35" s="9" t="s">
        <v>9</v>
      </c>
    </row>
    <row r="36" spans="1:4" x14ac:dyDescent="0.3">
      <c r="A36" s="16">
        <v>3</v>
      </c>
      <c r="B36" s="5">
        <v>91</v>
      </c>
      <c r="C36" s="5">
        <v>140</v>
      </c>
      <c r="D36" s="5">
        <f t="shared" ref="D36:D38" si="5">(C36-$B$39)/B36</f>
        <v>0.17582417582417584</v>
      </c>
    </row>
    <row r="37" spans="1:4" x14ac:dyDescent="0.3">
      <c r="A37" s="12">
        <v>4</v>
      </c>
      <c r="B37" s="13">
        <v>45</v>
      </c>
      <c r="C37" s="13">
        <v>117</v>
      </c>
      <c r="D37" s="14">
        <f t="shared" si="5"/>
        <v>-0.15555555555555556</v>
      </c>
    </row>
    <row r="38" spans="1:4" x14ac:dyDescent="0.3">
      <c r="A38" s="16">
        <v>6</v>
      </c>
      <c r="B38" s="5">
        <v>2</v>
      </c>
      <c r="C38" s="5">
        <v>150</v>
      </c>
      <c r="D38" s="5">
        <f t="shared" si="5"/>
        <v>13</v>
      </c>
    </row>
    <row r="39" spans="1:4" x14ac:dyDescent="0.3">
      <c r="A39" s="17" t="s">
        <v>10</v>
      </c>
      <c r="B39" s="17">
        <f>79+17+28</f>
        <v>124</v>
      </c>
    </row>
    <row r="41" spans="1:4" x14ac:dyDescent="0.3">
      <c r="A41" s="11" t="s">
        <v>0</v>
      </c>
      <c r="B41" s="9" t="s">
        <v>1</v>
      </c>
      <c r="C41" s="9" t="s">
        <v>2</v>
      </c>
      <c r="D41" s="9" t="s">
        <v>9</v>
      </c>
    </row>
    <row r="42" spans="1:4" x14ac:dyDescent="0.3">
      <c r="A42" s="16">
        <v>3</v>
      </c>
      <c r="B42" s="5">
        <v>91</v>
      </c>
      <c r="C42" s="5">
        <v>140</v>
      </c>
      <c r="D42" s="5">
        <f t="shared" ref="D42:D43" si="6">(C42-$B$44)/B42</f>
        <v>-0.31868131868131866</v>
      </c>
    </row>
    <row r="43" spans="1:4" x14ac:dyDescent="0.3">
      <c r="A43" s="12">
        <v>6</v>
      </c>
      <c r="B43" s="13">
        <v>2</v>
      </c>
      <c r="C43" s="13">
        <v>150</v>
      </c>
      <c r="D43" s="14">
        <f t="shared" si="6"/>
        <v>-9.5</v>
      </c>
    </row>
    <row r="44" spans="1:4" x14ac:dyDescent="0.3">
      <c r="A44" s="17" t="s">
        <v>10</v>
      </c>
      <c r="B44" s="17">
        <f>79+17+28+45</f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1E34-B6DF-4C42-BC11-9B71597260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1_Winter</vt:lpstr>
      <vt:lpstr>2_Part A&amp;B</vt:lpstr>
      <vt:lpstr>3_Harmonic Reg</vt:lpstr>
      <vt:lpstr>7_SPT</vt:lpstr>
      <vt:lpstr>7_EDD</vt:lpstr>
      <vt:lpstr>7_FCFS</vt:lpstr>
      <vt:lpstr>7_Crtical_Ratio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aarad</dc:creator>
  <cp:lastModifiedBy>aarad</cp:lastModifiedBy>
  <dcterms:created xsi:type="dcterms:W3CDTF">2021-11-24T06:13:14Z</dcterms:created>
  <dcterms:modified xsi:type="dcterms:W3CDTF">2021-11-24T07:59:18Z</dcterms:modified>
</cp:coreProperties>
</file>