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ad\OneDrive\Desktop\"/>
    </mc:Choice>
  </mc:AlternateContent>
  <xr:revisionPtr revIDLastSave="0" documentId="13_ncr:1_{922A300A-CEEA-477D-A0BF-ECDC7CD2EFFD}" xr6:coauthVersionLast="47" xr6:coauthVersionMax="47" xr10:uidLastSave="{00000000-0000-0000-0000-000000000000}"/>
  <bookViews>
    <workbookView xWindow="-108" yWindow="-108" windowWidth="23256" windowHeight="12456" activeTab="4" xr2:uid="{CCBE984B-7AB7-4317-B3A8-EA18BBD2F997}"/>
  </bookViews>
  <sheets>
    <sheet name="Sheet1" sheetId="1" r:id="rId1"/>
    <sheet name="Part 2" sheetId="2" r:id="rId2"/>
    <sheet name="Winter" sheetId="3" r:id="rId3"/>
    <sheet name="Sheet5" sheetId="5" r:id="rId4"/>
    <sheet name="Winter Additive" sheetId="4" r:id="rId5"/>
    <sheet name="Sheet6" sheetId="6" r:id="rId6"/>
    <sheet name="Sheet7" sheetId="7" r:id="rId7"/>
  </sheets>
  <definedNames>
    <definedName name="solver_adj" localSheetId="2" hidden="1">Winter!$I$2:$K$2</definedName>
    <definedName name="solver_adj" localSheetId="4" hidden="1">'Winter Additive'!$I$2:$K$2</definedName>
    <definedName name="solver_cvg" localSheetId="2" hidden="1">0.0001</definedName>
    <definedName name="solver_cvg" localSheetId="4" hidden="1">0.0001</definedName>
    <definedName name="solver_drv" localSheetId="2" hidden="1">1</definedName>
    <definedName name="solver_drv" localSheetId="4" hidden="1">2</definedName>
    <definedName name="solver_eng" localSheetId="6" hidden="1">1</definedName>
    <definedName name="solver_eng" localSheetId="2" hidden="1">1</definedName>
    <definedName name="solver_eng" localSheetId="4" hidden="1">1</definedName>
    <definedName name="solver_est" localSheetId="2" hidden="1">1</definedName>
    <definedName name="solver_est" localSheetId="4" hidden="1">1</definedName>
    <definedName name="solver_itr" localSheetId="2" hidden="1">2147483647</definedName>
    <definedName name="solver_itr" localSheetId="4" hidden="1">2147483647</definedName>
    <definedName name="solver_lhs1" localSheetId="2" hidden="1">Winter!$I$2</definedName>
    <definedName name="solver_lhs1" localSheetId="4" hidden="1">'Winter Additive'!$I$2</definedName>
    <definedName name="solver_lhs2" localSheetId="2" hidden="1">Winter!$I$2</definedName>
    <definedName name="solver_lhs2" localSheetId="4" hidden="1">'Winter Additive'!$J$2</definedName>
    <definedName name="solver_lhs3" localSheetId="2" hidden="1">Winter!$J$2</definedName>
    <definedName name="solver_lhs3" localSheetId="4" hidden="1">'Winter Additive'!$K$2</definedName>
    <definedName name="solver_lhs4" localSheetId="2" hidden="1">Winter!$J$2</definedName>
    <definedName name="solver_lhs5" localSheetId="2" hidden="1">Winter!$K$2</definedName>
    <definedName name="solver_lhs6" localSheetId="2" hidden="1">Winter!$K$2</definedName>
    <definedName name="solver_mip" localSheetId="2" hidden="1">2147483647</definedName>
    <definedName name="solver_mip" localSheetId="4" hidden="1">2147483647</definedName>
    <definedName name="solver_mni" localSheetId="2" hidden="1">30</definedName>
    <definedName name="solver_mni" localSheetId="4" hidden="1">30</definedName>
    <definedName name="solver_mrt" localSheetId="2" hidden="1">0.075</definedName>
    <definedName name="solver_mrt" localSheetId="4" hidden="1">0.075</definedName>
    <definedName name="solver_msl" localSheetId="2" hidden="1">2</definedName>
    <definedName name="solver_msl" localSheetId="4" hidden="1">2</definedName>
    <definedName name="solver_neg" localSheetId="6" hidden="1">1</definedName>
    <definedName name="solver_neg" localSheetId="2" hidden="1">1</definedName>
    <definedName name="solver_neg" localSheetId="4" hidden="1">1</definedName>
    <definedName name="solver_nod" localSheetId="2" hidden="1">2147483647</definedName>
    <definedName name="solver_nod" localSheetId="4" hidden="1">2147483647</definedName>
    <definedName name="solver_num" localSheetId="6" hidden="1">0</definedName>
    <definedName name="solver_num" localSheetId="2" hidden="1">6</definedName>
    <definedName name="solver_num" localSheetId="4" hidden="1">3</definedName>
    <definedName name="solver_nwt" localSheetId="2" hidden="1">1</definedName>
    <definedName name="solver_nwt" localSheetId="4" hidden="1">1</definedName>
    <definedName name="solver_opt" localSheetId="6" hidden="1">Sheet7!$I$1</definedName>
    <definedName name="solver_opt" localSheetId="2" hidden="1">Winter!$G$14</definedName>
    <definedName name="solver_opt" localSheetId="4" hidden="1">'Winter Additive'!$G$14</definedName>
    <definedName name="solver_pre" localSheetId="2" hidden="1">0.000001</definedName>
    <definedName name="solver_pre" localSheetId="4" hidden="1">0.000001</definedName>
    <definedName name="solver_rbv" localSheetId="2" hidden="1">1</definedName>
    <definedName name="solver_rbv" localSheetId="4" hidden="1">2</definedName>
    <definedName name="solver_rel1" localSheetId="2" hidden="1">1</definedName>
    <definedName name="solver_rel1" localSheetId="4" hidden="1">1</definedName>
    <definedName name="solver_rel2" localSheetId="2" hidden="1">3</definedName>
    <definedName name="solver_rel2" localSheetId="4" hidden="1">1</definedName>
    <definedName name="solver_rel3" localSheetId="2" hidden="1">1</definedName>
    <definedName name="solver_rel3" localSheetId="4" hidden="1">1</definedName>
    <definedName name="solver_rel4" localSheetId="2" hidden="1">3</definedName>
    <definedName name="solver_rel5" localSheetId="2" hidden="1">1</definedName>
    <definedName name="solver_rel6" localSheetId="2" hidden="1">3</definedName>
    <definedName name="solver_rhs1" localSheetId="2" hidden="1">1</definedName>
    <definedName name="solver_rhs1" localSheetId="4" hidden="1">1</definedName>
    <definedName name="solver_rhs2" localSheetId="2" hidden="1">0</definedName>
    <definedName name="solver_rhs2" localSheetId="4" hidden="1">1</definedName>
    <definedName name="solver_rhs3" localSheetId="2" hidden="1">1</definedName>
    <definedName name="solver_rhs3" localSheetId="4" hidden="1">1</definedName>
    <definedName name="solver_rhs4" localSheetId="2" hidden="1">0</definedName>
    <definedName name="solver_rhs5" localSheetId="2" hidden="1">1</definedName>
    <definedName name="solver_rhs6" localSheetId="2" hidden="1">0</definedName>
    <definedName name="solver_rlx" localSheetId="2" hidden="1">2</definedName>
    <definedName name="solver_rlx" localSheetId="4" hidden="1">2</definedName>
    <definedName name="solver_rsd" localSheetId="2" hidden="1">0</definedName>
    <definedName name="solver_rsd" localSheetId="4" hidden="1">0</definedName>
    <definedName name="solver_scl" localSheetId="2" hidden="1">1</definedName>
    <definedName name="solver_scl" localSheetId="4" hidden="1">2</definedName>
    <definedName name="solver_sho" localSheetId="2" hidden="1">2</definedName>
    <definedName name="solver_sho" localSheetId="4" hidden="1">2</definedName>
    <definedName name="solver_ssz" localSheetId="2" hidden="1">100</definedName>
    <definedName name="solver_ssz" localSheetId="4" hidden="1">100</definedName>
    <definedName name="solver_tim" localSheetId="2" hidden="1">2147483647</definedName>
    <definedName name="solver_tim" localSheetId="4" hidden="1">2147483647</definedName>
    <definedName name="solver_tol" localSheetId="2" hidden="1">0.01</definedName>
    <definedName name="solver_tol" localSheetId="4" hidden="1">0.01</definedName>
    <definedName name="solver_typ" localSheetId="6" hidden="1">1</definedName>
    <definedName name="solver_typ" localSheetId="2" hidden="1">2</definedName>
    <definedName name="solver_typ" localSheetId="4" hidden="1">2</definedName>
    <definedName name="solver_val" localSheetId="6" hidden="1">0</definedName>
    <definedName name="solver_val" localSheetId="2" hidden="1">0</definedName>
    <definedName name="solver_val" localSheetId="4" hidden="1">0</definedName>
    <definedName name="solver_ver" localSheetId="6" hidden="1">3</definedName>
    <definedName name="solver_ver" localSheetId="2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4" l="1"/>
  <c r="F17" i="4"/>
  <c r="F16" i="4"/>
  <c r="F15" i="4"/>
  <c r="I18" i="2"/>
  <c r="I17" i="2"/>
  <c r="I16" i="2"/>
  <c r="I15" i="2"/>
  <c r="G18" i="2"/>
  <c r="F18" i="2"/>
  <c r="E18" i="2"/>
  <c r="D18" i="2"/>
  <c r="G17" i="2"/>
  <c r="F17" i="2"/>
  <c r="E17" i="2"/>
  <c r="D17" i="2"/>
  <c r="G16" i="2"/>
  <c r="F16" i="2"/>
  <c r="E16" i="2"/>
  <c r="D16" i="2"/>
  <c r="G15" i="2"/>
  <c r="F15" i="2"/>
  <c r="E15" i="2"/>
  <c r="D15" i="2"/>
  <c r="G13" i="7"/>
  <c r="F13" i="7"/>
  <c r="E13" i="7"/>
  <c r="D13" i="7"/>
  <c r="G12" i="7"/>
  <c r="F12" i="7"/>
  <c r="E12" i="7"/>
  <c r="D12" i="7"/>
  <c r="G11" i="7"/>
  <c r="F11" i="7"/>
  <c r="E11" i="7"/>
  <c r="D11" i="7"/>
  <c r="G10" i="7"/>
  <c r="F10" i="7"/>
  <c r="E10" i="7"/>
  <c r="D10" i="7"/>
  <c r="G9" i="7"/>
  <c r="F9" i="7"/>
  <c r="E9" i="7"/>
  <c r="D9" i="7"/>
  <c r="G8" i="7"/>
  <c r="F8" i="7"/>
  <c r="E8" i="7"/>
  <c r="D8" i="7"/>
  <c r="G7" i="7"/>
  <c r="F7" i="7"/>
  <c r="E7" i="7"/>
  <c r="D7" i="7"/>
  <c r="G6" i="7"/>
  <c r="F6" i="7"/>
  <c r="E6" i="7"/>
  <c r="D6" i="7"/>
  <c r="G5" i="7"/>
  <c r="F5" i="7"/>
  <c r="E5" i="7"/>
  <c r="D5" i="7"/>
  <c r="G4" i="7"/>
  <c r="F4" i="7"/>
  <c r="E4" i="7"/>
  <c r="D4" i="7"/>
  <c r="G3" i="7"/>
  <c r="F3" i="7"/>
  <c r="E3" i="7"/>
  <c r="D3" i="7"/>
  <c r="G2" i="7"/>
  <c r="F2" i="7"/>
  <c r="E2" i="7"/>
  <c r="D2" i="7"/>
  <c r="D5" i="6"/>
  <c r="C5" i="6"/>
  <c r="E2" i="6" s="1"/>
  <c r="E4" i="6"/>
  <c r="E3" i="6"/>
  <c r="D5" i="5"/>
  <c r="C5" i="5"/>
  <c r="E5" i="5" s="1"/>
  <c r="E4" i="5"/>
  <c r="E3" i="5"/>
  <c r="C6" i="6" l="1"/>
  <c r="F6" i="6"/>
  <c r="G6" i="6" s="1"/>
  <c r="E5" i="6"/>
  <c r="E2" i="5"/>
  <c r="C6" i="5" s="1"/>
  <c r="E6" i="6" l="1"/>
  <c r="D6" i="6"/>
  <c r="F7" i="6" s="1"/>
  <c r="G7" i="6" s="1"/>
  <c r="E6" i="5"/>
  <c r="D6" i="5"/>
  <c r="F7" i="5" s="1"/>
  <c r="G7" i="5" s="1"/>
  <c r="F6" i="5"/>
  <c r="G6" i="5" s="1"/>
  <c r="C7" i="6" l="1"/>
  <c r="C7" i="5"/>
  <c r="C6" i="3"/>
  <c r="D6" i="3" s="1"/>
  <c r="C7" i="3" s="1"/>
  <c r="F6" i="3"/>
  <c r="D5" i="4"/>
  <c r="C5" i="4"/>
  <c r="E4" i="4" s="1"/>
  <c r="D5" i="3"/>
  <c r="C5" i="3"/>
  <c r="E4" i="3"/>
  <c r="G13" i="2"/>
  <c r="G12" i="2"/>
  <c r="G11" i="2"/>
  <c r="G10" i="2"/>
  <c r="G9" i="2"/>
  <c r="G8" i="2"/>
  <c r="G7" i="2"/>
  <c r="G6" i="2"/>
  <c r="G5" i="2"/>
  <c r="G4" i="2"/>
  <c r="G3" i="2"/>
  <c r="G2" i="2"/>
  <c r="F13" i="2"/>
  <c r="F12" i="2"/>
  <c r="F11" i="2"/>
  <c r="F10" i="2"/>
  <c r="F9" i="2"/>
  <c r="F8" i="2"/>
  <c r="F7" i="2"/>
  <c r="F6" i="2"/>
  <c r="F5" i="2"/>
  <c r="F4" i="2"/>
  <c r="F3" i="2"/>
  <c r="F2" i="2"/>
  <c r="E13" i="2"/>
  <c r="E12" i="2"/>
  <c r="E11" i="2"/>
  <c r="E10" i="2"/>
  <c r="E9" i="2"/>
  <c r="E8" i="2"/>
  <c r="E7" i="2"/>
  <c r="E6" i="2"/>
  <c r="E5" i="2"/>
  <c r="E4" i="2"/>
  <c r="E3" i="2"/>
  <c r="E2" i="2"/>
  <c r="D13" i="2"/>
  <c r="D12" i="2"/>
  <c r="D11" i="2"/>
  <c r="D10" i="2"/>
  <c r="I10" i="2" s="1"/>
  <c r="J10" i="2" s="1"/>
  <c r="D9" i="2"/>
  <c r="I9" i="2" s="1"/>
  <c r="J9" i="2" s="1"/>
  <c r="D8" i="2"/>
  <c r="I8" i="2" s="1"/>
  <c r="J8" i="2" s="1"/>
  <c r="D7" i="2"/>
  <c r="I7" i="2" s="1"/>
  <c r="J7" i="2" s="1"/>
  <c r="D6" i="2"/>
  <c r="D5" i="2"/>
  <c r="D4" i="2"/>
  <c r="D3" i="2"/>
  <c r="D2" i="2"/>
  <c r="I2" i="2" s="1"/>
  <c r="J2" i="2" s="1"/>
  <c r="I3" i="2" l="1"/>
  <c r="J3" i="2" s="1"/>
  <c r="I4" i="2"/>
  <c r="J4" i="2" s="1"/>
  <c r="I12" i="2"/>
  <c r="J12" i="2" s="1"/>
  <c r="I11" i="2"/>
  <c r="J11" i="2" s="1"/>
  <c r="I5" i="2"/>
  <c r="J5" i="2" s="1"/>
  <c r="I13" i="2"/>
  <c r="J13" i="2" s="1"/>
  <c r="I6" i="2"/>
  <c r="J6" i="2" s="1"/>
  <c r="E7" i="6"/>
  <c r="D7" i="6"/>
  <c r="F8" i="6"/>
  <c r="G8" i="6" s="1"/>
  <c r="C8" i="6"/>
  <c r="E6" i="3"/>
  <c r="E7" i="5"/>
  <c r="D7" i="5"/>
  <c r="F8" i="5"/>
  <c r="G8" i="5" s="1"/>
  <c r="C8" i="5"/>
  <c r="D7" i="3"/>
  <c r="C8" i="3" s="1"/>
  <c r="E7" i="3"/>
  <c r="E5" i="4"/>
  <c r="E2" i="4"/>
  <c r="C6" i="4" s="1"/>
  <c r="E3" i="4"/>
  <c r="E5" i="3"/>
  <c r="E2" i="3"/>
  <c r="E3" i="3"/>
  <c r="J14" i="2" l="1"/>
  <c r="D8" i="6"/>
  <c r="C9" i="6" s="1"/>
  <c r="F9" i="6"/>
  <c r="G9" i="6" s="1"/>
  <c r="E8" i="6"/>
  <c r="E6" i="4"/>
  <c r="D6" i="4"/>
  <c r="C7" i="4" s="1"/>
  <c r="E8" i="5"/>
  <c r="D8" i="5"/>
  <c r="F9" i="5" s="1"/>
  <c r="G9" i="5" s="1"/>
  <c r="D8" i="3"/>
  <c r="C9" i="3" s="1"/>
  <c r="E8" i="3"/>
  <c r="F6" i="4"/>
  <c r="G6" i="4" s="1"/>
  <c r="G6" i="3"/>
  <c r="E9" i="6" l="1"/>
  <c r="D9" i="6"/>
  <c r="F10" i="6"/>
  <c r="G10" i="6" s="1"/>
  <c r="C10" i="6"/>
  <c r="D7" i="4"/>
  <c r="C8" i="4" s="1"/>
  <c r="E7" i="4"/>
  <c r="C9" i="5"/>
  <c r="E9" i="3"/>
  <c r="D9" i="3"/>
  <c r="C10" i="3" s="1"/>
  <c r="F7" i="3"/>
  <c r="G7" i="3" s="1"/>
  <c r="F7" i="4"/>
  <c r="G7" i="4" s="1"/>
  <c r="F8" i="3"/>
  <c r="G8" i="3" s="1"/>
  <c r="F8" i="4" l="1"/>
  <c r="G8" i="4" s="1"/>
  <c r="E10" i="6"/>
  <c r="D10" i="6"/>
  <c r="F11" i="6" s="1"/>
  <c r="G11" i="6" s="1"/>
  <c r="E8" i="4"/>
  <c r="D8" i="4"/>
  <c r="C9" i="4" s="1"/>
  <c r="D9" i="5"/>
  <c r="F10" i="5"/>
  <c r="G10" i="5" s="1"/>
  <c r="E9" i="5"/>
  <c r="C10" i="5"/>
  <c r="E10" i="3"/>
  <c r="D10" i="3"/>
  <c r="C11" i="3" s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2" i="1"/>
  <c r="D3" i="1"/>
  <c r="C11" i="6" l="1"/>
  <c r="F9" i="4"/>
  <c r="G9" i="4" s="1"/>
  <c r="D9" i="4"/>
  <c r="E9" i="4"/>
  <c r="C10" i="4"/>
  <c r="E10" i="5"/>
  <c r="D10" i="5"/>
  <c r="F11" i="5"/>
  <c r="G11" i="5" s="1"/>
  <c r="C11" i="5"/>
  <c r="E11" i="3"/>
  <c r="D11" i="3"/>
  <c r="C12" i="3" s="1"/>
  <c r="F9" i="3"/>
  <c r="G9" i="3" s="1"/>
  <c r="E3" i="1"/>
  <c r="D4" i="1" s="1"/>
  <c r="F3" i="1"/>
  <c r="D11" i="6" l="1"/>
  <c r="C12" i="6" s="1"/>
  <c r="F12" i="6"/>
  <c r="G12" i="6" s="1"/>
  <c r="E11" i="6"/>
  <c r="E10" i="4"/>
  <c r="D10" i="4"/>
  <c r="C11" i="4" s="1"/>
  <c r="E11" i="5"/>
  <c r="D11" i="5"/>
  <c r="F12" i="5"/>
  <c r="G12" i="5" s="1"/>
  <c r="C12" i="5"/>
  <c r="E12" i="3"/>
  <c r="D12" i="3"/>
  <c r="C13" i="3" s="1"/>
  <c r="F10" i="3"/>
  <c r="G10" i="3" s="1"/>
  <c r="E4" i="1"/>
  <c r="D5" i="1" s="1"/>
  <c r="E5" i="1"/>
  <c r="D6" i="1" s="1"/>
  <c r="E12" i="6" l="1"/>
  <c r="D12" i="6"/>
  <c r="C13" i="6" s="1"/>
  <c r="F13" i="6"/>
  <c r="G13" i="6" s="1"/>
  <c r="G14" i="6" s="1"/>
  <c r="D11" i="4"/>
  <c r="C12" i="4" s="1"/>
  <c r="E11" i="4"/>
  <c r="E12" i="5"/>
  <c r="D12" i="5"/>
  <c r="F13" i="5"/>
  <c r="G13" i="5" s="1"/>
  <c r="G14" i="5" s="1"/>
  <c r="C13" i="5"/>
  <c r="E13" i="3"/>
  <c r="D13" i="3"/>
  <c r="F11" i="4"/>
  <c r="G11" i="4" s="1"/>
  <c r="F10" i="4"/>
  <c r="G10" i="4" s="1"/>
  <c r="F6" i="1"/>
  <c r="F5" i="1"/>
  <c r="F4" i="1"/>
  <c r="E6" i="1"/>
  <c r="D7" i="1" s="1"/>
  <c r="E13" i="6" l="1"/>
  <c r="D13" i="6"/>
  <c r="E12" i="4"/>
  <c r="D12" i="4"/>
  <c r="C13" i="4" s="1"/>
  <c r="D13" i="5"/>
  <c r="E13" i="5"/>
  <c r="F12" i="4"/>
  <c r="G12" i="4" s="1"/>
  <c r="E7" i="1"/>
  <c r="D8" i="1" s="1"/>
  <c r="D13" i="4" l="1"/>
  <c r="E13" i="4"/>
  <c r="F13" i="4"/>
  <c r="G13" i="4" s="1"/>
  <c r="G14" i="4" s="1"/>
  <c r="F12" i="3"/>
  <c r="G12" i="3" s="1"/>
  <c r="F11" i="3"/>
  <c r="G11" i="3" s="1"/>
  <c r="F7" i="1"/>
  <c r="E8" i="1"/>
  <c r="D9" i="1" s="1"/>
  <c r="F8" i="1" l="1"/>
  <c r="F9" i="1"/>
  <c r="E9" i="1"/>
  <c r="D10" i="1" s="1"/>
  <c r="F13" i="3" l="1"/>
  <c r="G13" i="3" s="1"/>
  <c r="G14" i="3" s="1"/>
  <c r="E10" i="1"/>
  <c r="F10" i="1" s="1"/>
  <c r="D11" i="1"/>
  <c r="E11" i="1" l="1"/>
  <c r="F11" i="1" s="1"/>
  <c r="D12" i="1" l="1"/>
  <c r="E12" i="1"/>
  <c r="D13" i="1" s="1"/>
  <c r="E13" i="1" l="1"/>
  <c r="F13" i="1"/>
  <c r="F12" i="1"/>
</calcChain>
</file>

<file path=xl/sharedStrings.xml><?xml version="1.0" encoding="utf-8"?>
<sst xmlns="http://schemas.openxmlformats.org/spreadsheetml/2006/main" count="160" uniqueCount="46">
  <si>
    <t>Period</t>
  </si>
  <si>
    <t>Demand</t>
  </si>
  <si>
    <t>t</t>
  </si>
  <si>
    <t>L_t</t>
  </si>
  <si>
    <t>b_t</t>
  </si>
  <si>
    <t>F_{t+m}</t>
  </si>
  <si>
    <t>alpha</t>
  </si>
  <si>
    <t>beta</t>
  </si>
  <si>
    <t>Error</t>
  </si>
  <si>
    <t>sin(2pi/p*t)</t>
  </si>
  <si>
    <t>cos(2pi/p*t)</t>
  </si>
  <si>
    <t>sin(4pi/p*t)</t>
  </si>
  <si>
    <t>cos(4pi/p*t)</t>
  </si>
  <si>
    <t>sales</t>
  </si>
  <si>
    <t>b_T</t>
  </si>
  <si>
    <t>S_t</t>
  </si>
  <si>
    <t>abs_err_%</t>
  </si>
  <si>
    <t>gamma</t>
  </si>
  <si>
    <t>abs_error</t>
  </si>
  <si>
    <t>MAPE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</si>
  <si>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</si>
  <si>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</si>
  <si>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</si>
  <si>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</si>
  <si>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</si>
  <si>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</si>
  <si>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</si>
  <si>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</si>
  <si>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</si>
  <si>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</si>
  <si>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</si>
  <si>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</si>
  <si>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</si>
  <si>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</si>
  <si>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</si>
  <si>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</si>
  <si>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</si>
  <si>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</si>
  <si>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</si>
  <si>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</si>
  <si>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</si>
  <si>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</si>
  <si>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</si>
  <si>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</si>
  <si>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Forecast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</si>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</sst>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"/>
    <numFmt numFmtId="172" formatCode="0.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7" fontId="0" fillId="0" borderId="0" xfId="0" applyNumberFormat="1"/>
    <xf numFmtId="2" fontId="0" fillId="0" borderId="0" xfId="0" applyNumberFormat="1"/>
    <xf numFmtId="0" fontId="1" fillId="0" borderId="0" xfId="0" applyFont="1"/>
    <xf numFmtId="169" fontId="0" fillId="0" borderId="0" xfId="0" applyNumberFormat="1"/>
    <xf numFmtId="2" fontId="1" fillId="0" borderId="0" xfId="0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172" fontId="0" fillId="0" borderId="0" xfId="0" applyNumberFormat="1"/>
    <xf numFmtId="0" fontId="0" fillId="0" borderId="3" xfId="0" applyBorder="1"/>
    <xf numFmtId="2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</c:f>
              <c:numCache>
                <c:formatCode>mmm\-yy</c:formatCode>
                <c:ptCount val="12"/>
                <c:pt idx="0">
                  <c:v>43101</c:v>
                </c:pt>
                <c:pt idx="1">
                  <c:v>43191</c:v>
                </c:pt>
                <c:pt idx="2">
                  <c:v>43282</c:v>
                </c:pt>
                <c:pt idx="3">
                  <c:v>43374</c:v>
                </c:pt>
                <c:pt idx="4">
                  <c:v>43466</c:v>
                </c:pt>
                <c:pt idx="5">
                  <c:v>43556</c:v>
                </c:pt>
                <c:pt idx="6">
                  <c:v>43647</c:v>
                </c:pt>
                <c:pt idx="7">
                  <c:v>43739</c:v>
                </c:pt>
                <c:pt idx="8">
                  <c:v>43831</c:v>
                </c:pt>
                <c:pt idx="9">
                  <c:v>43922</c:v>
                </c:pt>
                <c:pt idx="10">
                  <c:v>44013</c:v>
                </c:pt>
                <c:pt idx="11">
                  <c:v>44105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2660</c:v>
                </c:pt>
                <c:pt idx="1">
                  <c:v>2950</c:v>
                </c:pt>
                <c:pt idx="2">
                  <c:v>2510</c:v>
                </c:pt>
                <c:pt idx="3">
                  <c:v>3320</c:v>
                </c:pt>
                <c:pt idx="4">
                  <c:v>2740</c:v>
                </c:pt>
                <c:pt idx="5">
                  <c:v>3010</c:v>
                </c:pt>
                <c:pt idx="6">
                  <c:v>2570</c:v>
                </c:pt>
                <c:pt idx="7">
                  <c:v>3360</c:v>
                </c:pt>
                <c:pt idx="8">
                  <c:v>2850</c:v>
                </c:pt>
                <c:pt idx="9">
                  <c:v>3030</c:v>
                </c:pt>
                <c:pt idx="10">
                  <c:v>2550</c:v>
                </c:pt>
                <c:pt idx="11">
                  <c:v>3390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9D-45F0-B462-9ACF27C95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6860304"/>
        <c:axId val="1306861968"/>
      </c:lineChart>
      <c:dateAx>
        <c:axId val="13068603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861968"/>
        <c:crosses val="autoZero"/>
        <c:auto val="1"/>
        <c:lblOffset val="100"/>
        <c:baseTimeUnit val="months"/>
      </c:dateAx>
      <c:valAx>
        <c:axId val="130686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86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</xdr:colOff>
      <xdr:row>3</xdr:row>
      <xdr:rowOff>0</xdr:rowOff>
    </xdr:from>
    <xdr:to>
      <xdr:col>19</xdr:col>
      <xdr:colOff>312420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1D12E0-D6A8-47EA-91F2-589473097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70B2-0F90-4B44-A4C2-D4DE47AC2D9C}">
  <dimension ref="A1:J14"/>
  <sheetViews>
    <sheetView workbookViewId="0">
      <selection activeCell="H3" sqref="H3"/>
    </sheetView>
  </sheetViews>
  <sheetFormatPr defaultRowHeight="14.4" x14ac:dyDescent="0.3"/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I1" t="s">
        <v>6</v>
      </c>
      <c r="J1" t="s">
        <v>7</v>
      </c>
    </row>
    <row r="2" spans="1:10" x14ac:dyDescent="0.3">
      <c r="A2" s="1">
        <v>43101</v>
      </c>
      <c r="B2">
        <v>2660</v>
      </c>
      <c r="C2">
        <v>1</v>
      </c>
      <c r="D2" s="2">
        <v>2660</v>
      </c>
      <c r="E2" s="2">
        <v>0</v>
      </c>
      <c r="F2" s="2">
        <f>D2+1*E2</f>
        <v>2660</v>
      </c>
      <c r="G2">
        <f>ABS(B2-F2)/B2*100</f>
        <v>0</v>
      </c>
      <c r="I2">
        <v>0.3</v>
      </c>
      <c r="J2">
        <v>0.1</v>
      </c>
    </row>
    <row r="3" spans="1:10" x14ac:dyDescent="0.3">
      <c r="A3" s="1">
        <v>43191</v>
      </c>
      <c r="B3">
        <v>2950</v>
      </c>
      <c r="C3">
        <v>2</v>
      </c>
      <c r="D3" s="2">
        <f>$I$2*B3+(1-$I$2)*(D2+E2)</f>
        <v>2747</v>
      </c>
      <c r="E3" s="2">
        <f>$J$2*(D3-D2)+(1-$J$2)*E2</f>
        <v>8.7000000000000011</v>
      </c>
      <c r="F3" s="2">
        <f t="shared" ref="F3:F13" si="0">D3+1*E3</f>
        <v>2755.7</v>
      </c>
      <c r="G3">
        <f t="shared" ref="G3:G13" si="1">ABS(B3-F3)/B3*100</f>
        <v>6.5864406779661069</v>
      </c>
    </row>
    <row r="4" spans="1:10" x14ac:dyDescent="0.3">
      <c r="A4" s="1">
        <v>43282</v>
      </c>
      <c r="B4">
        <v>2510</v>
      </c>
      <c r="C4">
        <v>3</v>
      </c>
      <c r="D4" s="2">
        <f t="shared" ref="D4:D13" si="2">$I$2*B4+(1-$I$2)*(D3+E3)</f>
        <v>2681.99</v>
      </c>
      <c r="E4" s="2">
        <f t="shared" ref="E4:E13" si="3">$J$2*(D4-D3)+(1-$J$2)*E3</f>
        <v>1.3289999999999784</v>
      </c>
      <c r="F4" s="2">
        <f t="shared" si="0"/>
        <v>2683.319</v>
      </c>
      <c r="G4">
        <f t="shared" si="1"/>
        <v>6.9051394422310741</v>
      </c>
    </row>
    <row r="5" spans="1:10" x14ac:dyDescent="0.3">
      <c r="A5" s="1">
        <v>43374</v>
      </c>
      <c r="B5">
        <v>3320</v>
      </c>
      <c r="C5">
        <v>4</v>
      </c>
      <c r="D5" s="2">
        <f t="shared" si="2"/>
        <v>2874.3233</v>
      </c>
      <c r="E5" s="2">
        <f t="shared" si="3"/>
        <v>20.429430000000004</v>
      </c>
      <c r="F5" s="2">
        <f t="shared" si="0"/>
        <v>2894.7527300000002</v>
      </c>
      <c r="G5">
        <f t="shared" si="1"/>
        <v>12.808652710843369</v>
      </c>
    </row>
    <row r="6" spans="1:10" x14ac:dyDescent="0.3">
      <c r="A6" s="1">
        <v>43466</v>
      </c>
      <c r="B6">
        <v>2740</v>
      </c>
      <c r="C6">
        <v>5</v>
      </c>
      <c r="D6" s="2">
        <f t="shared" si="2"/>
        <v>2848.3269110000001</v>
      </c>
      <c r="E6" s="2">
        <f t="shared" si="3"/>
        <v>15.786848100000011</v>
      </c>
      <c r="F6" s="2">
        <f t="shared" si="0"/>
        <v>2864.1137591000002</v>
      </c>
      <c r="G6">
        <f t="shared" si="1"/>
        <v>4.529699237226283</v>
      </c>
    </row>
    <row r="7" spans="1:10" x14ac:dyDescent="0.3">
      <c r="A7" s="1">
        <v>43556</v>
      </c>
      <c r="B7">
        <v>3010</v>
      </c>
      <c r="C7">
        <v>6</v>
      </c>
      <c r="D7" s="2">
        <f t="shared" si="2"/>
        <v>2907.87963137</v>
      </c>
      <c r="E7" s="2">
        <f t="shared" si="3"/>
        <v>20.163435326999995</v>
      </c>
      <c r="F7" s="2">
        <f t="shared" si="0"/>
        <v>2928.0430666970001</v>
      </c>
      <c r="G7">
        <f t="shared" si="1"/>
        <v>2.7228217044186018</v>
      </c>
    </row>
    <row r="8" spans="1:10" x14ac:dyDescent="0.3">
      <c r="A8" s="1">
        <v>43647</v>
      </c>
      <c r="B8">
        <v>2570</v>
      </c>
      <c r="C8">
        <v>7</v>
      </c>
      <c r="D8" s="2">
        <f t="shared" si="2"/>
        <v>2820.6301466878999</v>
      </c>
      <c r="E8" s="2">
        <f t="shared" si="3"/>
        <v>9.4221433260899907</v>
      </c>
      <c r="F8" s="2">
        <f t="shared" si="0"/>
        <v>2830.0522900139899</v>
      </c>
      <c r="G8">
        <f t="shared" si="1"/>
        <v>10.118766148404278</v>
      </c>
    </row>
    <row r="9" spans="1:10" x14ac:dyDescent="0.3">
      <c r="A9" s="1">
        <v>43739</v>
      </c>
      <c r="B9">
        <v>3360</v>
      </c>
      <c r="C9">
        <v>8</v>
      </c>
      <c r="D9" s="2">
        <f t="shared" si="2"/>
        <v>2989.036603009793</v>
      </c>
      <c r="E9" s="2">
        <f t="shared" si="3"/>
        <v>25.3205746256703</v>
      </c>
      <c r="F9" s="2">
        <f t="shared" si="0"/>
        <v>3014.3571776354634</v>
      </c>
      <c r="G9">
        <f t="shared" si="1"/>
        <v>10.286988760849306</v>
      </c>
    </row>
    <row r="10" spans="1:10" x14ac:dyDescent="0.3">
      <c r="A10" s="1">
        <v>43831</v>
      </c>
      <c r="B10">
        <v>2850</v>
      </c>
      <c r="C10">
        <v>9</v>
      </c>
      <c r="D10" s="2">
        <f t="shared" si="2"/>
        <v>2965.0500243448241</v>
      </c>
      <c r="E10" s="2">
        <f t="shared" si="3"/>
        <v>20.389859296606385</v>
      </c>
      <c r="F10" s="2">
        <f t="shared" si="0"/>
        <v>2985.4398836414307</v>
      </c>
      <c r="G10">
        <f t="shared" si="1"/>
        <v>4.752276618997568</v>
      </c>
    </row>
    <row r="11" spans="1:10" x14ac:dyDescent="0.3">
      <c r="A11" s="1">
        <v>43922</v>
      </c>
      <c r="B11">
        <v>3030</v>
      </c>
      <c r="C11">
        <v>10</v>
      </c>
      <c r="D11" s="2">
        <f t="shared" si="2"/>
        <v>2998.8079185490014</v>
      </c>
      <c r="E11" s="2">
        <f t="shared" si="3"/>
        <v>21.72666278736348</v>
      </c>
      <c r="F11" s="2">
        <f t="shared" si="0"/>
        <v>3020.5345813363651</v>
      </c>
      <c r="G11">
        <f t="shared" si="1"/>
        <v>0.31239005490544108</v>
      </c>
    </row>
    <row r="12" spans="1:10" x14ac:dyDescent="0.3">
      <c r="A12" s="1">
        <v>44013</v>
      </c>
      <c r="B12">
        <v>2550</v>
      </c>
      <c r="C12">
        <v>11</v>
      </c>
      <c r="D12" s="2">
        <f t="shared" si="2"/>
        <v>2879.3742069354553</v>
      </c>
      <c r="E12" s="2">
        <f t="shared" si="3"/>
        <v>7.6106253472725154</v>
      </c>
      <c r="F12" s="2">
        <f t="shared" si="0"/>
        <v>2886.9848322827279</v>
      </c>
      <c r="G12">
        <f t="shared" si="1"/>
        <v>13.215091462067759</v>
      </c>
    </row>
    <row r="13" spans="1:10" x14ac:dyDescent="0.3">
      <c r="A13" s="1">
        <v>44105</v>
      </c>
      <c r="B13">
        <v>3390</v>
      </c>
      <c r="C13">
        <v>12</v>
      </c>
      <c r="D13" s="2">
        <f t="shared" si="2"/>
        <v>3037.8893825979094</v>
      </c>
      <c r="E13" s="2">
        <f t="shared" si="3"/>
        <v>22.701080378790678</v>
      </c>
      <c r="F13" s="2">
        <f t="shared" si="0"/>
        <v>3060.5904629767001</v>
      </c>
      <c r="G13">
        <f t="shared" si="1"/>
        <v>9.7170954874129762</v>
      </c>
    </row>
    <row r="14" spans="1:10" x14ac:dyDescent="0.3">
      <c r="G14" s="3">
        <f>AVERAGE(G2:G13)</f>
        <v>6.8296135254435635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EBDF-0EAE-4CF3-87DF-E410EFF92BE6}">
  <dimension ref="A1:J68"/>
  <sheetViews>
    <sheetView workbookViewId="0">
      <selection activeCell="H23" sqref="H23"/>
    </sheetView>
  </sheetViews>
  <sheetFormatPr defaultRowHeight="14.4" x14ac:dyDescent="0.3"/>
  <cols>
    <col min="4" max="4" width="11.21875" bestFit="1" customWidth="1"/>
    <col min="5" max="6" width="12.109375" bestFit="1" customWidth="1"/>
    <col min="7" max="7" width="11.44140625" bestFit="1" customWidth="1"/>
    <col min="9" max="9" width="12.66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</v>
      </c>
      <c r="I1" s="3" t="s">
        <v>44</v>
      </c>
      <c r="J1" s="3" t="s">
        <v>45</v>
      </c>
    </row>
    <row r="2" spans="1:10" x14ac:dyDescent="0.3">
      <c r="A2" s="1">
        <v>43101</v>
      </c>
      <c r="B2">
        <v>2660</v>
      </c>
      <c r="C2">
        <v>1</v>
      </c>
      <c r="D2" s="10">
        <f>SIN(2*PI()/4*C2)</f>
        <v>1</v>
      </c>
      <c r="E2" s="10">
        <f>COS(2*PI()*C2/4)</f>
        <v>6.1257422745431001E-17</v>
      </c>
      <c r="F2" s="10">
        <f>SIN(4*PI()*C2/4)</f>
        <v>1.22514845490862E-16</v>
      </c>
      <c r="G2" s="10">
        <f>COS(4*PI()*C2/4)</f>
        <v>-1</v>
      </c>
      <c r="H2">
        <v>2660</v>
      </c>
      <c r="I2">
        <f>$B$36+$B$37*C2+$B$38*D2+$B$39*E2+$B$40*F2+$B$41*G2</f>
        <v>2702.8975937954774</v>
      </c>
      <c r="J2">
        <f>ABS(I2-H2)/H2*100</f>
        <v>1.6126914960705792</v>
      </c>
    </row>
    <row r="3" spans="1:10" x14ac:dyDescent="0.3">
      <c r="A3" s="1">
        <v>43191</v>
      </c>
      <c r="B3">
        <v>2950</v>
      </c>
      <c r="C3">
        <v>2</v>
      </c>
      <c r="D3" s="10">
        <f t="shared" ref="D3:D18" si="0">SIN(2*PI()/4*C3)</f>
        <v>1.22514845490862E-16</v>
      </c>
      <c r="E3" s="10">
        <f t="shared" ref="E3:E13" si="1">COS(2*PI()*C3/4)</f>
        <v>-1</v>
      </c>
      <c r="F3" s="10">
        <f t="shared" ref="F3:F13" si="2">SIN(4*PI()*C3/4)</f>
        <v>-2.45029690981724E-16</v>
      </c>
      <c r="G3" s="10">
        <f t="shared" ref="G3:G13" si="3">COS(4*PI()*C3/4)</f>
        <v>1</v>
      </c>
      <c r="H3">
        <v>2950</v>
      </c>
      <c r="I3">
        <f>$B$36+$B$37*C3+$B$38*D3+$B$39*E3+$B$40*F3+$B$41*G3</f>
        <v>2941.0872606717739</v>
      </c>
      <c r="J3">
        <f t="shared" ref="J3:J13" si="4">ABS(I3-H3)/H3*100</f>
        <v>0.30212675688901874</v>
      </c>
    </row>
    <row r="4" spans="1:10" x14ac:dyDescent="0.3">
      <c r="A4" s="1">
        <v>43282</v>
      </c>
      <c r="B4">
        <v>2510</v>
      </c>
      <c r="C4">
        <v>3</v>
      </c>
      <c r="D4" s="10">
        <f t="shared" si="0"/>
        <v>-1</v>
      </c>
      <c r="E4" s="10">
        <f t="shared" si="1"/>
        <v>-1.83772268236293E-16</v>
      </c>
      <c r="F4" s="10">
        <f t="shared" si="2"/>
        <v>3.67544536472586E-16</v>
      </c>
      <c r="G4" s="10">
        <f t="shared" si="3"/>
        <v>-1</v>
      </c>
      <c r="H4">
        <v>2510</v>
      </c>
      <c r="I4">
        <f>$B$36+$B$37*C4+$B$38*D4+$B$39*E4+$B$40*F4+$B$41*G4</f>
        <v>2506.4733433946972</v>
      </c>
      <c r="J4">
        <f t="shared" si="4"/>
        <v>0.14050424722322044</v>
      </c>
    </row>
    <row r="5" spans="1:10" x14ac:dyDescent="0.3">
      <c r="A5" s="1">
        <v>43374</v>
      </c>
      <c r="B5">
        <v>3320</v>
      </c>
      <c r="C5">
        <v>4</v>
      </c>
      <c r="D5" s="10">
        <f t="shared" si="0"/>
        <v>-2.45029690981724E-16</v>
      </c>
      <c r="E5" s="10">
        <f t="shared" si="1"/>
        <v>1</v>
      </c>
      <c r="F5" s="10">
        <f t="shared" si="2"/>
        <v>-4.90059381963448E-16</v>
      </c>
      <c r="G5" s="10">
        <f t="shared" si="3"/>
        <v>1</v>
      </c>
      <c r="H5">
        <v>3320</v>
      </c>
      <c r="I5">
        <f>$B$36+$B$37*C5+$B$38*D5+$B$39*E5+$B$40*F5+$B$41*G5</f>
        <v>3301.0872606717739</v>
      </c>
      <c r="J5">
        <f t="shared" si="4"/>
        <v>0.56966082313933897</v>
      </c>
    </row>
    <row r="6" spans="1:10" x14ac:dyDescent="0.3">
      <c r="A6" s="1">
        <v>43466</v>
      </c>
      <c r="B6">
        <v>2740</v>
      </c>
      <c r="C6">
        <v>5</v>
      </c>
      <c r="D6" s="10">
        <f t="shared" si="0"/>
        <v>1</v>
      </c>
      <c r="E6" s="10">
        <f t="shared" si="1"/>
        <v>3.06287113727155E-16</v>
      </c>
      <c r="F6" s="10">
        <f t="shared" si="2"/>
        <v>6.1257422745431001E-16</v>
      </c>
      <c r="G6" s="10">
        <f t="shared" si="3"/>
        <v>-1</v>
      </c>
      <c r="H6">
        <v>2740</v>
      </c>
      <c r="I6">
        <f>$B$36+$B$37*C6+$B$38*D6+$B$39*E6+$B$40*F6+$B$41*G6</f>
        <v>2750</v>
      </c>
      <c r="J6">
        <f t="shared" si="4"/>
        <v>0.36496350364963503</v>
      </c>
    </row>
    <row r="7" spans="1:10" x14ac:dyDescent="0.3">
      <c r="A7" s="1">
        <v>43556</v>
      </c>
      <c r="B7">
        <v>3010</v>
      </c>
      <c r="C7">
        <v>6</v>
      </c>
      <c r="D7" s="10">
        <f t="shared" si="0"/>
        <v>3.67544536472586E-16</v>
      </c>
      <c r="E7" s="10">
        <f t="shared" si="1"/>
        <v>-1</v>
      </c>
      <c r="F7" s="10">
        <f t="shared" si="2"/>
        <v>-7.3508907294517201E-16</v>
      </c>
      <c r="G7" s="10">
        <f t="shared" si="3"/>
        <v>1</v>
      </c>
      <c r="H7">
        <v>3010</v>
      </c>
      <c r="I7">
        <f>$B$36+$B$37*C7+$B$38*D7+$B$39*E7+$B$40*F7+$B$41*G7</f>
        <v>2996.6666666666665</v>
      </c>
      <c r="J7">
        <f t="shared" si="4"/>
        <v>0.44296788482835497</v>
      </c>
    </row>
    <row r="8" spans="1:10" x14ac:dyDescent="0.3">
      <c r="A8" s="1">
        <v>43647</v>
      </c>
      <c r="B8">
        <v>2570</v>
      </c>
      <c r="C8">
        <v>7</v>
      </c>
      <c r="D8" s="10">
        <f t="shared" si="0"/>
        <v>-1</v>
      </c>
      <c r="E8" s="10">
        <f t="shared" si="1"/>
        <v>-4.28801959218017E-16</v>
      </c>
      <c r="F8" s="10">
        <f t="shared" si="2"/>
        <v>8.5760391843603401E-16</v>
      </c>
      <c r="G8" s="10">
        <f t="shared" si="3"/>
        <v>-1</v>
      </c>
      <c r="H8">
        <v>2570</v>
      </c>
      <c r="I8">
        <f>$B$36+$B$37*C8+$B$38*D8+$B$39*E8+$B$40*F8+$B$41*G8</f>
        <v>2553.5757495992198</v>
      </c>
      <c r="J8">
        <f t="shared" si="4"/>
        <v>0.63907589108094309</v>
      </c>
    </row>
    <row r="9" spans="1:10" x14ac:dyDescent="0.3">
      <c r="A9" s="1">
        <v>43739</v>
      </c>
      <c r="B9">
        <v>3360</v>
      </c>
      <c r="C9">
        <v>8</v>
      </c>
      <c r="D9" s="10">
        <f t="shared" si="0"/>
        <v>-4.90059381963448E-16</v>
      </c>
      <c r="E9" s="10">
        <f t="shared" si="1"/>
        <v>1</v>
      </c>
      <c r="F9" s="10">
        <f t="shared" si="2"/>
        <v>-9.8011876392689601E-16</v>
      </c>
      <c r="G9" s="10">
        <f t="shared" si="3"/>
        <v>1</v>
      </c>
      <c r="H9">
        <v>3360</v>
      </c>
      <c r="I9">
        <f>$B$36+$B$37*C9+$B$38*D9+$B$39*E9+$B$40*F9+$B$41*G9</f>
        <v>3356.6666666666665</v>
      </c>
      <c r="J9">
        <f t="shared" si="4"/>
        <v>9.9206349206353711E-2</v>
      </c>
    </row>
    <row r="10" spans="1:10" x14ac:dyDescent="0.3">
      <c r="A10" s="1">
        <v>43831</v>
      </c>
      <c r="B10">
        <v>2850</v>
      </c>
      <c r="C10">
        <v>9</v>
      </c>
      <c r="D10" s="10">
        <f t="shared" si="0"/>
        <v>1</v>
      </c>
      <c r="E10" s="10">
        <f t="shared" si="1"/>
        <v>5.51316804708879E-16</v>
      </c>
      <c r="F10" s="10">
        <f t="shared" si="2"/>
        <v>1.102633609417758E-15</v>
      </c>
      <c r="G10" s="10">
        <f t="shared" si="3"/>
        <v>-1</v>
      </c>
      <c r="H10">
        <v>2850</v>
      </c>
      <c r="I10">
        <f>$B$36+$B$37*C10+$B$38*D10+$B$39*E10+$B$40*F10+$B$41*G10</f>
        <v>2797.1024062045226</v>
      </c>
      <c r="J10">
        <f t="shared" si="4"/>
        <v>1.8560559226483302</v>
      </c>
    </row>
    <row r="11" spans="1:10" x14ac:dyDescent="0.3">
      <c r="A11" s="1">
        <v>43922</v>
      </c>
      <c r="B11">
        <v>3030</v>
      </c>
      <c r="C11">
        <v>10</v>
      </c>
      <c r="D11" s="10">
        <f t="shared" si="0"/>
        <v>6.1257422745431001E-16</v>
      </c>
      <c r="E11" s="10">
        <f t="shared" si="1"/>
        <v>-1</v>
      </c>
      <c r="F11" s="10">
        <f t="shared" si="2"/>
        <v>-1.22514845490862E-15</v>
      </c>
      <c r="G11" s="10">
        <f t="shared" si="3"/>
        <v>1</v>
      </c>
      <c r="H11">
        <v>3030</v>
      </c>
      <c r="I11">
        <f>$B$36+$B$37*C11+$B$38*D11+$B$39*E11+$B$40*F11+$B$41*G11</f>
        <v>3052.2460726615591</v>
      </c>
      <c r="J11">
        <f t="shared" si="4"/>
        <v>0.73419381721317112</v>
      </c>
    </row>
    <row r="12" spans="1:10" x14ac:dyDescent="0.3">
      <c r="A12" s="1">
        <v>44013</v>
      </c>
      <c r="B12">
        <v>2550</v>
      </c>
      <c r="C12">
        <v>11</v>
      </c>
      <c r="D12" s="10">
        <f t="shared" si="0"/>
        <v>-1</v>
      </c>
      <c r="E12" s="10">
        <f t="shared" si="1"/>
        <v>-2.4501884895999915E-15</v>
      </c>
      <c r="F12" s="10">
        <f t="shared" si="2"/>
        <v>4.9003769791999829E-15</v>
      </c>
      <c r="G12" s="10">
        <f t="shared" si="3"/>
        <v>-1</v>
      </c>
      <c r="H12">
        <v>2550</v>
      </c>
      <c r="I12">
        <f>$B$36+$B$37*C12+$B$38*D12+$B$39*E12+$B$40*F12+$B$41*G12</f>
        <v>2569.9509070060822</v>
      </c>
      <c r="J12">
        <f t="shared" si="4"/>
        <v>0.78238851004243759</v>
      </c>
    </row>
    <row r="13" spans="1:10" x14ac:dyDescent="0.3">
      <c r="A13" s="1">
        <v>44105</v>
      </c>
      <c r="B13">
        <v>3390</v>
      </c>
      <c r="C13">
        <v>12</v>
      </c>
      <c r="D13" s="10">
        <f t="shared" si="0"/>
        <v>-7.3508907294517201E-16</v>
      </c>
      <c r="E13" s="10">
        <f t="shared" si="1"/>
        <v>1</v>
      </c>
      <c r="F13" s="10">
        <f t="shared" si="2"/>
        <v>-1.470178145890344E-15</v>
      </c>
      <c r="G13" s="10">
        <f t="shared" si="3"/>
        <v>1</v>
      </c>
      <c r="H13">
        <v>3390</v>
      </c>
      <c r="I13">
        <f>$B$36+$B$37*C13+$B$38*D13+$B$39*E13+$B$40*F13+$B$41*G13</f>
        <v>3412.2460726615591</v>
      </c>
      <c r="J13">
        <f t="shared" si="4"/>
        <v>0.65622633219938298</v>
      </c>
    </row>
    <row r="14" spans="1:10" x14ac:dyDescent="0.3">
      <c r="D14" s="10"/>
      <c r="E14" s="10"/>
      <c r="F14" s="10"/>
      <c r="G14" s="10"/>
      <c r="I14" s="3" t="s">
        <v>19</v>
      </c>
      <c r="J14">
        <f>AVERAGE(J2:J13)</f>
        <v>0.68333846118256381</v>
      </c>
    </row>
    <row r="15" spans="1:10" x14ac:dyDescent="0.3">
      <c r="C15">
        <v>13</v>
      </c>
      <c r="D15" s="10">
        <f t="shared" si="0"/>
        <v>1</v>
      </c>
      <c r="E15" s="10">
        <f t="shared" ref="E15:E18" si="5">COS(2*PI()*C15/4)</f>
        <v>-9.8001034370964746E-16</v>
      </c>
      <c r="F15" s="10">
        <f t="shared" ref="F15:F18" si="6">SIN(4*PI()*C15/4)</f>
        <v>-1.9600206874192949E-15</v>
      </c>
      <c r="G15" s="10">
        <f t="shared" ref="G15:G18" si="7">COS(4*PI()*C15/4)</f>
        <v>-1</v>
      </c>
      <c r="I15" s="11">
        <f t="shared" ref="I15:I18" si="8">$B$36+$B$37*C15+$B$38*D15+$B$39*E15+$B$40*F15+$B$41*G15</f>
        <v>2874.9320612067049</v>
      </c>
    </row>
    <row r="16" spans="1:10" x14ac:dyDescent="0.3">
      <c r="C16">
        <v>14</v>
      </c>
      <c r="D16" s="10">
        <f t="shared" si="0"/>
        <v>8.5760391843603401E-16</v>
      </c>
      <c r="E16" s="10">
        <f t="shared" si="5"/>
        <v>-1</v>
      </c>
      <c r="F16" s="10">
        <f t="shared" si="6"/>
        <v>-1.715207836872068E-15</v>
      </c>
      <c r="G16" s="10">
        <f t="shared" si="7"/>
        <v>1</v>
      </c>
      <c r="I16" s="11">
        <f t="shared" si="8"/>
        <v>3107.8254786564517</v>
      </c>
    </row>
    <row r="17" spans="1:9" x14ac:dyDescent="0.3">
      <c r="C17">
        <v>15</v>
      </c>
      <c r="D17" s="10">
        <f t="shared" si="0"/>
        <v>-1</v>
      </c>
      <c r="E17" s="10">
        <f t="shared" si="5"/>
        <v>-2.6952181805817155E-15</v>
      </c>
      <c r="F17" s="10">
        <f t="shared" si="6"/>
        <v>5.3904363611634309E-15</v>
      </c>
      <c r="G17" s="10">
        <f t="shared" si="7"/>
        <v>-1</v>
      </c>
      <c r="I17" s="11">
        <f t="shared" si="8"/>
        <v>2617.0533132106048</v>
      </c>
    </row>
    <row r="18" spans="1:9" x14ac:dyDescent="0.3">
      <c r="C18">
        <v>16</v>
      </c>
      <c r="D18" s="10">
        <f t="shared" si="0"/>
        <v>-9.8011876392689601E-16</v>
      </c>
      <c r="E18" s="10">
        <f t="shared" si="5"/>
        <v>1</v>
      </c>
      <c r="F18" s="10">
        <f t="shared" si="6"/>
        <v>-1.960237527853792E-15</v>
      </c>
      <c r="G18" s="10">
        <f t="shared" si="7"/>
        <v>1</v>
      </c>
      <c r="I18" s="11">
        <f t="shared" si="8"/>
        <v>3467.8254786564512</v>
      </c>
    </row>
    <row r="20" spans="1:9" x14ac:dyDescent="0.3">
      <c r="A20" t="s">
        <v>20</v>
      </c>
    </row>
    <row r="21" spans="1:9" ht="15" thickBot="1" x14ac:dyDescent="0.35"/>
    <row r="22" spans="1:9" x14ac:dyDescent="0.3">
      <c r="A22" s="9" t="s">
        <v>21</v>
      </c>
      <c r="B22" s="9"/>
    </row>
    <row r="23" spans="1:9" x14ac:dyDescent="0.3">
      <c r="A23" s="6" t="s">
        <v>22</v>
      </c>
      <c r="B23" s="6">
        <v>0.99687473309193486</v>
      </c>
    </row>
    <row r="24" spans="1:9" x14ac:dyDescent="0.3">
      <c r="A24" s="6" t="s">
        <v>23</v>
      </c>
      <c r="B24" s="6">
        <v>0.99375923347711637</v>
      </c>
    </row>
    <row r="25" spans="1:9" x14ac:dyDescent="0.3">
      <c r="A25" s="6" t="s">
        <v>24</v>
      </c>
      <c r="B25" s="6">
        <v>0.98855859470804663</v>
      </c>
    </row>
    <row r="26" spans="1:9" x14ac:dyDescent="0.3">
      <c r="A26" s="6" t="s">
        <v>25</v>
      </c>
      <c r="B26" s="6">
        <v>34.240288158453701</v>
      </c>
    </row>
    <row r="27" spans="1:9" ht="15" thickBot="1" x14ac:dyDescent="0.35">
      <c r="A27" s="7" t="s">
        <v>26</v>
      </c>
      <c r="B27" s="7">
        <v>12</v>
      </c>
    </row>
    <row r="29" spans="1:9" ht="15" thickBot="1" x14ac:dyDescent="0.35">
      <c r="A29" t="s">
        <v>27</v>
      </c>
    </row>
    <row r="30" spans="1:9" x14ac:dyDescent="0.3">
      <c r="A30" s="8"/>
      <c r="B30" s="8" t="s">
        <v>32</v>
      </c>
      <c r="C30" s="8" t="s">
        <v>33</v>
      </c>
      <c r="D30" s="8" t="s">
        <v>34</v>
      </c>
      <c r="E30" s="8" t="s">
        <v>35</v>
      </c>
      <c r="F30" s="8" t="s">
        <v>36</v>
      </c>
    </row>
    <row r="31" spans="1:9" x14ac:dyDescent="0.3">
      <c r="A31" s="6" t="s">
        <v>28</v>
      </c>
      <c r="B31" s="6">
        <v>5</v>
      </c>
      <c r="C31" s="6">
        <v>1120132.2826676231</v>
      </c>
      <c r="D31" s="6">
        <v>224026.45653352462</v>
      </c>
      <c r="E31" s="6">
        <v>191.08407209272164</v>
      </c>
      <c r="F31" s="6">
        <v>1.5838975324661372E-6</v>
      </c>
    </row>
    <row r="32" spans="1:9" x14ac:dyDescent="0.3">
      <c r="A32" s="6" t="s">
        <v>29</v>
      </c>
      <c r="B32" s="6">
        <v>6</v>
      </c>
      <c r="C32" s="6">
        <v>7034.3839990436672</v>
      </c>
      <c r="D32" s="6">
        <v>1172.3973331739446</v>
      </c>
      <c r="E32" s="6"/>
      <c r="F32" s="6"/>
    </row>
    <row r="33" spans="1:9" ht="15" thickBot="1" x14ac:dyDescent="0.35">
      <c r="A33" s="7" t="s">
        <v>30</v>
      </c>
      <c r="B33" s="7">
        <v>11</v>
      </c>
      <c r="C33" s="7">
        <v>1127166.6666666667</v>
      </c>
      <c r="D33" s="7"/>
      <c r="E33" s="7"/>
      <c r="F33" s="7"/>
    </row>
    <row r="34" spans="1:9" ht="15" thickBot="1" x14ac:dyDescent="0.35"/>
    <row r="35" spans="1:9" x14ac:dyDescent="0.3">
      <c r="A35" s="8"/>
      <c r="B35" s="8" t="s">
        <v>37</v>
      </c>
      <c r="C35" s="8" t="s">
        <v>25</v>
      </c>
      <c r="D35" s="8" t="s">
        <v>38</v>
      </c>
      <c r="E35" s="8" t="s">
        <v>39</v>
      </c>
      <c r="F35" s="8" t="s">
        <v>40</v>
      </c>
      <c r="G35" s="8" t="s">
        <v>41</v>
      </c>
      <c r="H35" s="8" t="s">
        <v>42</v>
      </c>
      <c r="I35" s="8" t="s">
        <v>43</v>
      </c>
    </row>
    <row r="36" spans="1:9" x14ac:dyDescent="0.3">
      <c r="A36" s="6" t="s">
        <v>31</v>
      </c>
      <c r="B36" s="6">
        <v>2830.2684858342154</v>
      </c>
      <c r="C36" s="6">
        <v>22.525199100708694</v>
      </c>
      <c r="D36" s="6">
        <v>125.64898863625</v>
      </c>
      <c r="E36" s="6">
        <v>1.7136282427689077E-11</v>
      </c>
      <c r="F36" s="6">
        <v>2775.1513092052915</v>
      </c>
      <c r="G36" s="6">
        <v>2885.3856624631394</v>
      </c>
      <c r="H36" s="6">
        <v>2775.1513092052915</v>
      </c>
      <c r="I36" s="6">
        <v>2885.3856624631394</v>
      </c>
    </row>
    <row r="37" spans="1:9" x14ac:dyDescent="0.3">
      <c r="A37" s="6" t="s">
        <v>2</v>
      </c>
      <c r="B37" s="6">
        <v>12.83522652492687</v>
      </c>
      <c r="C37" s="6">
        <v>3.2155824755388944</v>
      </c>
      <c r="D37" s="6">
        <v>3.9915712386683024</v>
      </c>
      <c r="E37" s="6">
        <v>7.1876961479248819E-3</v>
      </c>
      <c r="F37" s="6">
        <v>4.9669796571966698</v>
      </c>
      <c r="G37" s="6">
        <v>20.70347339265707</v>
      </c>
      <c r="H37" s="6">
        <v>4.9669796571966698</v>
      </c>
      <c r="I37" s="6">
        <v>20.70347339265707</v>
      </c>
    </row>
    <row r="38" spans="1:9" x14ac:dyDescent="0.3">
      <c r="A38" s="6" t="s">
        <v>9</v>
      </c>
      <c r="B38" s="6">
        <v>109.98772675152058</v>
      </c>
      <c r="C38" s="6">
        <v>15.474402675162501</v>
      </c>
      <c r="D38" s="6">
        <v>7.1077203469739469</v>
      </c>
      <c r="E38" s="6">
        <v>3.8976292580228633E-4</v>
      </c>
      <c r="F38" s="6">
        <v>72.123227456276027</v>
      </c>
      <c r="G38" s="6">
        <v>147.85222604676514</v>
      </c>
      <c r="H38" s="6">
        <v>72.123227456276027</v>
      </c>
      <c r="I38" s="6">
        <v>147.85222604676514</v>
      </c>
    </row>
    <row r="39" spans="1:9" x14ac:dyDescent="0.3">
      <c r="A39" s="6" t="s">
        <v>10</v>
      </c>
      <c r="B39" s="6">
        <v>166.10514850127691</v>
      </c>
      <c r="C39" s="6">
        <v>14.48388330367915</v>
      </c>
      <c r="D39" s="6">
        <v>11.468274427417088</v>
      </c>
      <c r="E39" s="6">
        <v>2.6389455581647251E-5</v>
      </c>
      <c r="F39" s="6">
        <v>130.66436279490364</v>
      </c>
      <c r="G39" s="6">
        <v>201.54593420765019</v>
      </c>
      <c r="H39" s="6">
        <v>130.66436279490364</v>
      </c>
      <c r="I39" s="6">
        <v>201.54593420765019</v>
      </c>
    </row>
    <row r="40" spans="1:9" x14ac:dyDescent="0.3">
      <c r="A40" s="6" t="s">
        <v>11</v>
      </c>
      <c r="B40" s="6">
        <v>-8648951639703800</v>
      </c>
      <c r="C40" s="6">
        <v>9786878412829572</v>
      </c>
      <c r="D40" s="6">
        <v>-0.88372934401289083</v>
      </c>
      <c r="E40" s="6">
        <v>0.41085092331825396</v>
      </c>
      <c r="F40" s="6">
        <v>-3.2596580413771352E+16</v>
      </c>
      <c r="G40" s="6">
        <v>1.5298677134363752E+16</v>
      </c>
      <c r="H40" s="6">
        <v>-3.2596580413771352E+16</v>
      </c>
      <c r="I40" s="6">
        <v>1.5298677134363752E+16</v>
      </c>
    </row>
    <row r="41" spans="1:9" ht="15" thickBot="1" x14ac:dyDescent="0.35">
      <c r="A41" s="7" t="s">
        <v>12</v>
      </c>
      <c r="B41" s="7">
        <v>249.13422034138924</v>
      </c>
      <c r="C41" s="7">
        <v>15.040085592822447</v>
      </c>
      <c r="D41" s="7">
        <v>16.56468101885558</v>
      </c>
      <c r="E41" s="7">
        <v>3.0870142048953914E-6</v>
      </c>
      <c r="F41" s="7">
        <v>212.33245666207728</v>
      </c>
      <c r="G41" s="7">
        <v>285.9359840207012</v>
      </c>
      <c r="H41" s="7">
        <v>212.33245666207728</v>
      </c>
      <c r="I41" s="7">
        <v>285.9359840207012</v>
      </c>
    </row>
    <row r="47" spans="1:9" x14ac:dyDescent="0.3">
      <c r="A47" t="s">
        <v>20</v>
      </c>
    </row>
    <row r="48" spans="1:9" ht="15" thickBot="1" x14ac:dyDescent="0.35"/>
    <row r="49" spans="1:9" x14ac:dyDescent="0.3">
      <c r="A49" s="9" t="s">
        <v>21</v>
      </c>
      <c r="B49" s="9"/>
    </row>
    <row r="50" spans="1:9" x14ac:dyDescent="0.3">
      <c r="A50" s="6" t="s">
        <v>22</v>
      </c>
      <c r="B50" s="6">
        <v>0.99687473309193486</v>
      </c>
    </row>
    <row r="51" spans="1:9" x14ac:dyDescent="0.3">
      <c r="A51" s="6" t="s">
        <v>23</v>
      </c>
      <c r="B51" s="6">
        <v>0.99375923347711637</v>
      </c>
    </row>
    <row r="52" spans="1:9" x14ac:dyDescent="0.3">
      <c r="A52" s="6" t="s">
        <v>24</v>
      </c>
      <c r="B52" s="6">
        <v>0.98855859470804663</v>
      </c>
    </row>
    <row r="53" spans="1:9" x14ac:dyDescent="0.3">
      <c r="A53" s="6" t="s">
        <v>25</v>
      </c>
      <c r="B53" s="6">
        <v>34.240288158453701</v>
      </c>
    </row>
    <row r="54" spans="1:9" ht="15" thickBot="1" x14ac:dyDescent="0.35">
      <c r="A54" s="7" t="s">
        <v>26</v>
      </c>
      <c r="B54" s="7">
        <v>12</v>
      </c>
    </row>
    <row r="56" spans="1:9" ht="15" thickBot="1" x14ac:dyDescent="0.35">
      <c r="A56" t="s">
        <v>27</v>
      </c>
    </row>
    <row r="57" spans="1:9" x14ac:dyDescent="0.3">
      <c r="A57" s="8"/>
      <c r="B57" s="8" t="s">
        <v>32</v>
      </c>
      <c r="C57" s="8" t="s">
        <v>33</v>
      </c>
      <c r="D57" s="8" t="s">
        <v>34</v>
      </c>
      <c r="E57" s="8" t="s">
        <v>35</v>
      </c>
      <c r="F57" s="8" t="s">
        <v>36</v>
      </c>
    </row>
    <row r="58" spans="1:9" x14ac:dyDescent="0.3">
      <c r="A58" s="6" t="s">
        <v>28</v>
      </c>
      <c r="B58" s="6">
        <v>5</v>
      </c>
      <c r="C58" s="6">
        <v>1120132.2826676231</v>
      </c>
      <c r="D58" s="6">
        <v>224026.45653352462</v>
      </c>
      <c r="E58" s="6">
        <v>191.08407209272164</v>
      </c>
      <c r="F58" s="6">
        <v>1.5838975324661372E-6</v>
      </c>
    </row>
    <row r="59" spans="1:9" x14ac:dyDescent="0.3">
      <c r="A59" s="6" t="s">
        <v>29</v>
      </c>
      <c r="B59" s="6">
        <v>6</v>
      </c>
      <c r="C59" s="6">
        <v>7034.3839990436672</v>
      </c>
      <c r="D59" s="6">
        <v>1172.3973331739446</v>
      </c>
      <c r="E59" s="6"/>
      <c r="F59" s="6"/>
    </row>
    <row r="60" spans="1:9" ht="15" thickBot="1" x14ac:dyDescent="0.35">
      <c r="A60" s="7" t="s">
        <v>30</v>
      </c>
      <c r="B60" s="7">
        <v>11</v>
      </c>
      <c r="C60" s="7">
        <v>1127166.6666666667</v>
      </c>
      <c r="D60" s="7"/>
      <c r="E60" s="7"/>
      <c r="F60" s="7"/>
    </row>
    <row r="61" spans="1:9" ht="15" thickBot="1" x14ac:dyDescent="0.35"/>
    <row r="62" spans="1:9" x14ac:dyDescent="0.3">
      <c r="A62" s="8"/>
      <c r="B62" s="8" t="s">
        <v>37</v>
      </c>
      <c r="C62" s="8" t="s">
        <v>25</v>
      </c>
      <c r="D62" s="8" t="s">
        <v>38</v>
      </c>
      <c r="E62" s="8" t="s">
        <v>39</v>
      </c>
      <c r="F62" s="8" t="s">
        <v>40</v>
      </c>
      <c r="G62" s="8" t="s">
        <v>41</v>
      </c>
      <c r="H62" s="8" t="s">
        <v>42</v>
      </c>
      <c r="I62" s="8" t="s">
        <v>43</v>
      </c>
    </row>
    <row r="63" spans="1:9" x14ac:dyDescent="0.3">
      <c r="A63" s="6" t="s">
        <v>31</v>
      </c>
      <c r="B63" s="6">
        <v>2830.2684858342154</v>
      </c>
      <c r="C63" s="6">
        <v>22.525199100708694</v>
      </c>
      <c r="D63" s="6">
        <v>125.64898863625</v>
      </c>
      <c r="E63" s="6">
        <v>1.7136282427689077E-11</v>
      </c>
      <c r="F63" s="6">
        <v>2775.1513092052915</v>
      </c>
      <c r="G63" s="6">
        <v>2885.3856624631394</v>
      </c>
      <c r="H63" s="6">
        <v>2775.1513092052915</v>
      </c>
      <c r="I63" s="6">
        <v>2885.3856624631394</v>
      </c>
    </row>
    <row r="64" spans="1:9" x14ac:dyDescent="0.3">
      <c r="A64" s="6" t="s">
        <v>2</v>
      </c>
      <c r="B64" s="6">
        <v>12.83522652492687</v>
      </c>
      <c r="C64" s="6">
        <v>3.2155824755388944</v>
      </c>
      <c r="D64" s="6">
        <v>3.9915712386683024</v>
      </c>
      <c r="E64" s="6">
        <v>7.1876961479248819E-3</v>
      </c>
      <c r="F64" s="6">
        <v>4.9669796571966698</v>
      </c>
      <c r="G64" s="6">
        <v>20.70347339265707</v>
      </c>
      <c r="H64" s="6">
        <v>4.9669796571966698</v>
      </c>
      <c r="I64" s="6">
        <v>20.70347339265707</v>
      </c>
    </row>
    <row r="65" spans="1:9" x14ac:dyDescent="0.3">
      <c r="A65" s="6" t="s">
        <v>9</v>
      </c>
      <c r="B65" s="6">
        <v>109.98772675152058</v>
      </c>
      <c r="C65" s="6">
        <v>15.474402675162501</v>
      </c>
      <c r="D65" s="6">
        <v>7.1077203469739469</v>
      </c>
      <c r="E65" s="6">
        <v>3.8976292580228633E-4</v>
      </c>
      <c r="F65" s="6">
        <v>72.123227456276027</v>
      </c>
      <c r="G65" s="6">
        <v>147.85222604676514</v>
      </c>
      <c r="H65" s="6">
        <v>72.123227456276027</v>
      </c>
      <c r="I65" s="6">
        <v>147.85222604676514</v>
      </c>
    </row>
    <row r="66" spans="1:9" x14ac:dyDescent="0.3">
      <c r="A66" s="6" t="s">
        <v>10</v>
      </c>
      <c r="B66" s="6">
        <v>166.10514850127691</v>
      </c>
      <c r="C66" s="6">
        <v>14.48388330367915</v>
      </c>
      <c r="D66" s="6">
        <v>11.468274427417088</v>
      </c>
      <c r="E66" s="6">
        <v>2.6389455581647251E-5</v>
      </c>
      <c r="F66" s="6">
        <v>130.66436279490364</v>
      </c>
      <c r="G66" s="6">
        <v>201.54593420765019</v>
      </c>
      <c r="H66" s="6">
        <v>130.66436279490364</v>
      </c>
      <c r="I66" s="6">
        <v>201.54593420765019</v>
      </c>
    </row>
    <row r="67" spans="1:9" x14ac:dyDescent="0.3">
      <c r="A67" s="6" t="s">
        <v>11</v>
      </c>
      <c r="B67" s="6">
        <v>-8648951639703800</v>
      </c>
      <c r="C67" s="6">
        <v>9786878412829572</v>
      </c>
      <c r="D67" s="6">
        <v>-0.88372934401289083</v>
      </c>
      <c r="E67" s="6">
        <v>0.41085092331825396</v>
      </c>
      <c r="F67" s="6">
        <v>-3.2596580413771352E+16</v>
      </c>
      <c r="G67" s="6">
        <v>1.5298677134363752E+16</v>
      </c>
      <c r="H67" s="6">
        <v>-3.2596580413771352E+16</v>
      </c>
      <c r="I67" s="6">
        <v>1.5298677134363752E+16</v>
      </c>
    </row>
    <row r="68" spans="1:9" ht="15" thickBot="1" x14ac:dyDescent="0.35">
      <c r="A68" s="7" t="s">
        <v>12</v>
      </c>
      <c r="B68" s="7">
        <v>249.13422034138924</v>
      </c>
      <c r="C68" s="7">
        <v>15.040085592822447</v>
      </c>
      <c r="D68" s="7">
        <v>16.56468101885558</v>
      </c>
      <c r="E68" s="7">
        <v>3.0870142048953914E-6</v>
      </c>
      <c r="F68" s="7">
        <v>212.33245666207728</v>
      </c>
      <c r="G68" s="7">
        <v>285.9359840207012</v>
      </c>
      <c r="H68" s="7">
        <v>212.33245666207728</v>
      </c>
      <c r="I68" s="7">
        <v>285.9359840207012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57D9-7C90-4234-851A-7A91EAA93F14}">
  <dimension ref="A1:K33"/>
  <sheetViews>
    <sheetView workbookViewId="0">
      <selection activeCell="C16" sqref="C16"/>
    </sheetView>
  </sheetViews>
  <sheetFormatPr defaultRowHeight="14.4" x14ac:dyDescent="0.3"/>
  <sheetData>
    <row r="1" spans="1:11" x14ac:dyDescent="0.3">
      <c r="A1" s="3" t="s">
        <v>2</v>
      </c>
      <c r="B1" s="3" t="s">
        <v>13</v>
      </c>
      <c r="C1" s="3" t="s">
        <v>3</v>
      </c>
      <c r="D1" s="3" t="s">
        <v>14</v>
      </c>
      <c r="E1" s="3" t="s">
        <v>15</v>
      </c>
      <c r="F1" s="3" t="s">
        <v>5</v>
      </c>
      <c r="G1" s="3" t="s">
        <v>18</v>
      </c>
      <c r="I1" s="3" t="s">
        <v>6</v>
      </c>
      <c r="J1" s="3" t="s">
        <v>7</v>
      </c>
      <c r="K1" s="3" t="s">
        <v>17</v>
      </c>
    </row>
    <row r="2" spans="1:11" x14ac:dyDescent="0.3">
      <c r="A2">
        <v>1</v>
      </c>
      <c r="B2">
        <v>2660</v>
      </c>
      <c r="E2" s="4">
        <f>B2/$C$5</f>
        <v>0.93006993006993011</v>
      </c>
      <c r="I2">
        <v>0.3000444510040563</v>
      </c>
      <c r="J2">
        <v>0</v>
      </c>
      <c r="K2">
        <v>1</v>
      </c>
    </row>
    <row r="3" spans="1:11" x14ac:dyDescent="0.3">
      <c r="A3">
        <v>2</v>
      </c>
      <c r="B3">
        <v>2950</v>
      </c>
      <c r="E3" s="4">
        <f>B3/$C$5</f>
        <v>1.0314685314685315</v>
      </c>
    </row>
    <row r="4" spans="1:11" x14ac:dyDescent="0.3">
      <c r="A4">
        <v>3</v>
      </c>
      <c r="B4">
        <v>2510</v>
      </c>
      <c r="E4" s="4">
        <f>B4/$C$5</f>
        <v>0.8776223776223776</v>
      </c>
    </row>
    <row r="5" spans="1:11" x14ac:dyDescent="0.3">
      <c r="A5">
        <v>4</v>
      </c>
      <c r="B5">
        <v>3320</v>
      </c>
      <c r="C5">
        <f>SUM(B2:B5)/4</f>
        <v>2860</v>
      </c>
      <c r="D5">
        <f>0.25*0.25*(B6-B2+B7-B3+B8-B4+B9-B5)</f>
        <v>15</v>
      </c>
      <c r="E5" s="4">
        <f>B5/$C$5</f>
        <v>1.1608391608391608</v>
      </c>
    </row>
    <row r="6" spans="1:11" x14ac:dyDescent="0.3">
      <c r="A6">
        <v>5</v>
      </c>
      <c r="B6">
        <v>2740</v>
      </c>
      <c r="C6">
        <f>$I$2*B6/E2+(1-$I$2)*(C5+D5)</f>
        <v>2896.3076679679198</v>
      </c>
      <c r="D6">
        <f>$J$2*(C6-C5)+(1-$J$2)*D5</f>
        <v>15</v>
      </c>
      <c r="E6" s="4">
        <f>$K$2*B6/C6+(1-$K$2)*E2</f>
        <v>0.94603209123926157</v>
      </c>
      <c r="F6" s="2">
        <f>(C5+1*D5)*E2</f>
        <v>2673.951048951049</v>
      </c>
      <c r="G6">
        <f>ABS(F6-B6)/B6*100</f>
        <v>2.4105456587208409</v>
      </c>
    </row>
    <row r="7" spans="1:11" x14ac:dyDescent="0.3">
      <c r="A7">
        <v>6</v>
      </c>
      <c r="B7">
        <v>3010</v>
      </c>
      <c r="C7">
        <f t="shared" ref="C7:C13" si="0">$I$2*B7/E3+(1-$I$2)*(C6+D6)</f>
        <v>2913.3665200501177</v>
      </c>
      <c r="D7">
        <f t="shared" ref="D7:D13" si="1">$J$2*(C7-C6)+(1-$J$2)*D6</f>
        <v>15</v>
      </c>
      <c r="E7" s="4">
        <f t="shared" ref="E7:E13" si="2">$K$2*B7/C7+(1-$K$2)*E3</f>
        <v>1.0331690088716403</v>
      </c>
      <c r="F7" s="2">
        <f t="shared" ref="F7:F13" si="3">(C6+1*D6)*E3</f>
        <v>3002.922244931945</v>
      </c>
      <c r="G7">
        <f t="shared" ref="G7:G13" si="4">ABS(F7-B7)/B7*100</f>
        <v>0.23514136438720973</v>
      </c>
    </row>
    <row r="8" spans="1:11" x14ac:dyDescent="0.3">
      <c r="A8">
        <v>7</v>
      </c>
      <c r="B8">
        <v>2570</v>
      </c>
      <c r="C8">
        <f t="shared" si="0"/>
        <v>2928.3665241950589</v>
      </c>
      <c r="D8">
        <f t="shared" si="1"/>
        <v>15</v>
      </c>
      <c r="E8" s="4">
        <f t="shared" si="2"/>
        <v>0.87762238052029173</v>
      </c>
      <c r="F8" s="2">
        <f t="shared" si="3"/>
        <v>2569.9999878761523</v>
      </c>
      <c r="G8">
        <f t="shared" si="4"/>
        <v>4.7174504600127373E-7</v>
      </c>
    </row>
    <row r="9" spans="1:11" x14ac:dyDescent="0.3">
      <c r="A9">
        <v>8</v>
      </c>
      <c r="B9">
        <v>3360</v>
      </c>
      <c r="C9">
        <f t="shared" si="0"/>
        <v>2928.6917422936267</v>
      </c>
      <c r="D9">
        <f t="shared" si="1"/>
        <v>15</v>
      </c>
      <c r="E9" s="4">
        <f t="shared" si="2"/>
        <v>1.1472699401844835</v>
      </c>
      <c r="F9" s="2">
        <f t="shared" si="3"/>
        <v>3416.77512598867</v>
      </c>
      <c r="G9">
        <f t="shared" si="4"/>
        <v>1.6897358925199397</v>
      </c>
    </row>
    <row r="10" spans="1:11" x14ac:dyDescent="0.3">
      <c r="A10">
        <v>9</v>
      </c>
      <c r="B10">
        <v>2850</v>
      </c>
      <c r="C10">
        <f t="shared" si="0"/>
        <v>2964.3621198792166</v>
      </c>
      <c r="D10">
        <f t="shared" si="1"/>
        <v>15</v>
      </c>
      <c r="E10" s="4">
        <f t="shared" si="2"/>
        <v>0.96142100213995574</v>
      </c>
      <c r="F10" s="2">
        <f t="shared" si="3"/>
        <v>2784.826854925785</v>
      </c>
      <c r="G10">
        <f t="shared" si="4"/>
        <v>2.2867770201478939</v>
      </c>
    </row>
    <row r="11" spans="1:11" x14ac:dyDescent="0.3">
      <c r="A11">
        <v>10</v>
      </c>
      <c r="B11">
        <v>3030</v>
      </c>
      <c r="C11">
        <f t="shared" si="0"/>
        <v>2965.3687419616854</v>
      </c>
      <c r="D11">
        <f t="shared" si="1"/>
        <v>15</v>
      </c>
      <c r="E11" s="4">
        <f t="shared" si="2"/>
        <v>1.0217953528422097</v>
      </c>
      <c r="F11" s="2">
        <f t="shared" si="3"/>
        <v>3078.1846084653193</v>
      </c>
      <c r="G11">
        <f t="shared" si="4"/>
        <v>1.5902511044659851</v>
      </c>
    </row>
    <row r="12" spans="1:11" x14ac:dyDescent="0.3">
      <c r="A12">
        <v>11</v>
      </c>
      <c r="B12">
        <v>2550</v>
      </c>
      <c r="C12">
        <f t="shared" si="0"/>
        <v>2957.9280987300035</v>
      </c>
      <c r="D12">
        <f t="shared" si="1"/>
        <v>15</v>
      </c>
      <c r="E12" s="4">
        <f t="shared" si="2"/>
        <v>0.86208992067618251</v>
      </c>
      <c r="F12" s="2">
        <f t="shared" si="3"/>
        <v>2615.6383101486813</v>
      </c>
      <c r="G12">
        <f t="shared" si="4"/>
        <v>2.5740513783796581</v>
      </c>
    </row>
    <row r="13" spans="1:11" x14ac:dyDescent="0.3">
      <c r="A13">
        <v>12</v>
      </c>
      <c r="B13">
        <v>3390</v>
      </c>
      <c r="C13">
        <f t="shared" si="0"/>
        <v>2967.5010978234222</v>
      </c>
      <c r="D13">
        <f t="shared" si="1"/>
        <v>15</v>
      </c>
      <c r="E13" s="4">
        <f t="shared" si="2"/>
        <v>1.1423753145319706</v>
      </c>
      <c r="F13" s="2">
        <f t="shared" si="3"/>
        <v>3410.7510420027411</v>
      </c>
      <c r="G13">
        <f t="shared" si="4"/>
        <v>0.61212513282422087</v>
      </c>
    </row>
    <row r="14" spans="1:11" x14ac:dyDescent="0.3">
      <c r="C14" s="2"/>
      <c r="D14" s="2"/>
      <c r="E14" s="4"/>
      <c r="F14" s="5" t="s">
        <v>19</v>
      </c>
      <c r="G14">
        <f>AVERAGE(G6:G13)</f>
        <v>1.4248285028988494</v>
      </c>
    </row>
    <row r="15" spans="1:11" x14ac:dyDescent="0.3">
      <c r="C15" s="2"/>
      <c r="D15" s="2"/>
      <c r="E15" s="4"/>
      <c r="F15" s="2"/>
    </row>
    <row r="16" spans="1:11" x14ac:dyDescent="0.3">
      <c r="C16" s="2"/>
      <c r="D16" s="2"/>
      <c r="E16" s="4"/>
      <c r="F16" s="2"/>
    </row>
    <row r="17" spans="3:6" x14ac:dyDescent="0.3">
      <c r="C17" s="2"/>
      <c r="D17" s="2"/>
      <c r="E17" s="4"/>
      <c r="F17" s="2"/>
    </row>
    <row r="18" spans="3:6" x14ac:dyDescent="0.3">
      <c r="C18" s="2"/>
      <c r="D18" s="2"/>
      <c r="E18" s="4"/>
      <c r="F18" s="2"/>
    </row>
    <row r="19" spans="3:6" x14ac:dyDescent="0.3">
      <c r="C19" s="2"/>
      <c r="D19" s="2"/>
      <c r="E19" s="4"/>
      <c r="F19" s="2"/>
    </row>
    <row r="20" spans="3:6" x14ac:dyDescent="0.3">
      <c r="C20" s="2"/>
      <c r="D20" s="2"/>
      <c r="E20" s="4"/>
      <c r="F20" s="2"/>
    </row>
    <row r="21" spans="3:6" x14ac:dyDescent="0.3">
      <c r="C21" s="2"/>
      <c r="D21" s="2"/>
      <c r="E21" s="4"/>
      <c r="F21" s="2"/>
    </row>
    <row r="22" spans="3:6" x14ac:dyDescent="0.3">
      <c r="C22" s="2"/>
      <c r="D22" s="2"/>
      <c r="E22" s="4"/>
      <c r="F22" s="2"/>
    </row>
    <row r="23" spans="3:6" x14ac:dyDescent="0.3">
      <c r="C23" s="2"/>
      <c r="D23" s="2"/>
      <c r="E23" s="4"/>
      <c r="F23" s="2"/>
    </row>
    <row r="24" spans="3:6" x14ac:dyDescent="0.3">
      <c r="C24" s="2"/>
      <c r="D24" s="2"/>
      <c r="E24" s="4"/>
      <c r="F24" s="2"/>
    </row>
    <row r="25" spans="3:6" x14ac:dyDescent="0.3">
      <c r="C25" s="2"/>
      <c r="D25" s="2"/>
      <c r="E25" s="4"/>
      <c r="F25" s="2"/>
    </row>
    <row r="26" spans="3:6" x14ac:dyDescent="0.3">
      <c r="C26" s="2"/>
      <c r="D26" s="2"/>
      <c r="E26" s="4"/>
      <c r="F26" s="2"/>
    </row>
    <row r="27" spans="3:6" x14ac:dyDescent="0.3">
      <c r="C27" s="2"/>
      <c r="D27" s="2"/>
      <c r="E27" s="4"/>
      <c r="F27" s="2"/>
    </row>
    <row r="28" spans="3:6" x14ac:dyDescent="0.3">
      <c r="C28" s="2"/>
      <c r="D28" s="2"/>
      <c r="E28" s="4"/>
      <c r="F28" s="2"/>
    </row>
    <row r="29" spans="3:6" x14ac:dyDescent="0.3">
      <c r="C29" s="2"/>
      <c r="D29" s="2"/>
      <c r="E29" s="4"/>
      <c r="F29" s="2"/>
    </row>
    <row r="30" spans="3:6" x14ac:dyDescent="0.3">
      <c r="F30" s="2"/>
    </row>
    <row r="31" spans="3:6" x14ac:dyDescent="0.3">
      <c r="F31" s="2"/>
    </row>
    <row r="32" spans="3:6" x14ac:dyDescent="0.3">
      <c r="F32" s="2"/>
    </row>
    <row r="33" spans="6:6" x14ac:dyDescent="0.3">
      <c r="F3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98E2-7993-4019-BF1B-E03728B835CA}">
  <dimension ref="A1:K14"/>
  <sheetViews>
    <sheetView workbookViewId="0">
      <selection activeCell="I1" sqref="I1:K2"/>
    </sheetView>
  </sheetViews>
  <sheetFormatPr defaultRowHeight="14.4" x14ac:dyDescent="0.3"/>
  <sheetData>
    <row r="1" spans="1:11" x14ac:dyDescent="0.3">
      <c r="A1" s="3" t="s">
        <v>2</v>
      </c>
      <c r="B1" s="3" t="s">
        <v>13</v>
      </c>
      <c r="C1" s="3" t="s">
        <v>3</v>
      </c>
      <c r="D1" s="3" t="s">
        <v>14</v>
      </c>
      <c r="E1" s="3" t="s">
        <v>15</v>
      </c>
      <c r="F1" s="3" t="s">
        <v>5</v>
      </c>
      <c r="G1" s="3" t="s">
        <v>18</v>
      </c>
      <c r="I1" s="3" t="s">
        <v>6</v>
      </c>
      <c r="J1" s="3" t="s">
        <v>7</v>
      </c>
      <c r="K1" s="3" t="s">
        <v>17</v>
      </c>
    </row>
    <row r="2" spans="1:11" x14ac:dyDescent="0.3">
      <c r="A2">
        <v>1</v>
      </c>
      <c r="B2">
        <v>2660</v>
      </c>
      <c r="E2" s="4">
        <f>B2/$C$5</f>
        <v>0.93006993006993011</v>
      </c>
      <c r="I2">
        <v>0</v>
      </c>
      <c r="J2">
        <v>0</v>
      </c>
      <c r="K2">
        <v>0</v>
      </c>
    </row>
    <row r="3" spans="1:11" x14ac:dyDescent="0.3">
      <c r="A3">
        <v>2</v>
      </c>
      <c r="B3">
        <v>2950</v>
      </c>
      <c r="E3" s="4">
        <f>B3/$C$5</f>
        <v>1.0314685314685315</v>
      </c>
    </row>
    <row r="4" spans="1:11" x14ac:dyDescent="0.3">
      <c r="A4">
        <v>3</v>
      </c>
      <c r="B4">
        <v>2510</v>
      </c>
      <c r="E4" s="4">
        <f>B4/$C$5</f>
        <v>0.8776223776223776</v>
      </c>
    </row>
    <row r="5" spans="1:11" x14ac:dyDescent="0.3">
      <c r="A5">
        <v>4</v>
      </c>
      <c r="B5">
        <v>3320</v>
      </c>
      <c r="C5">
        <f>SUM(B2:B5)/4</f>
        <v>2860</v>
      </c>
      <c r="D5">
        <f>0.25*0.25*(B6-B2+B7-B3+B8-B4+B9-B5)</f>
        <v>15</v>
      </c>
      <c r="E5" s="4">
        <f>B5/$C$5</f>
        <v>1.1608391608391608</v>
      </c>
    </row>
    <row r="6" spans="1:11" x14ac:dyDescent="0.3">
      <c r="A6">
        <v>5</v>
      </c>
      <c r="B6">
        <v>2740</v>
      </c>
      <c r="C6">
        <f>$I$2*B6/E2+(1-$I$2)*(C5+D5)</f>
        <v>2875</v>
      </c>
      <c r="D6">
        <f>$J$2*(C6-C5)+(1-$J$2)*D5</f>
        <v>15</v>
      </c>
      <c r="E6" s="4">
        <f>$K$2*B6/C6+(1-$K$2)*E2</f>
        <v>0.93006993006993011</v>
      </c>
      <c r="F6" s="2">
        <f>(C5+1*D5)*E2</f>
        <v>2673.951048951049</v>
      </c>
      <c r="G6">
        <f>ABS(F6-B6)/B6*100</f>
        <v>2.4105456587208409</v>
      </c>
    </row>
    <row r="7" spans="1:11" x14ac:dyDescent="0.3">
      <c r="A7">
        <v>6</v>
      </c>
      <c r="B7">
        <v>3010</v>
      </c>
      <c r="C7">
        <f t="shared" ref="C7:C13" si="0">$I$2*B7/E3+(1-$I$2)*(C6+D6)</f>
        <v>2890</v>
      </c>
      <c r="D7">
        <f t="shared" ref="D7:D13" si="1">$J$2*(C7-C6)+(1-$J$2)*D6</f>
        <v>15</v>
      </c>
      <c r="E7" s="4">
        <f t="shared" ref="E7:E13" si="2">$K$2*B7/C7+(1-$K$2)*E3</f>
        <v>1.0314685314685315</v>
      </c>
      <c r="F7" s="2">
        <f t="shared" ref="F7:F13" si="3">(C6+1*D6)*E3</f>
        <v>2980.9440559440559</v>
      </c>
      <c r="G7">
        <f t="shared" ref="G7:G13" si="4">ABS(F7-B7)/B7*100</f>
        <v>0.96531375601143221</v>
      </c>
    </row>
    <row r="8" spans="1:11" x14ac:dyDescent="0.3">
      <c r="A8">
        <v>7</v>
      </c>
      <c r="B8">
        <v>2570</v>
      </c>
      <c r="C8">
        <f t="shared" si="0"/>
        <v>2905</v>
      </c>
      <c r="D8">
        <f t="shared" si="1"/>
        <v>15</v>
      </c>
      <c r="E8" s="4">
        <f t="shared" si="2"/>
        <v>0.8776223776223776</v>
      </c>
      <c r="F8" s="2">
        <f t="shared" si="3"/>
        <v>2549.4930069930069</v>
      </c>
      <c r="G8">
        <f t="shared" si="4"/>
        <v>0.79793747108922453</v>
      </c>
    </row>
    <row r="9" spans="1:11" x14ac:dyDescent="0.3">
      <c r="A9">
        <v>8</v>
      </c>
      <c r="B9">
        <v>3360</v>
      </c>
      <c r="C9">
        <f t="shared" si="0"/>
        <v>2920</v>
      </c>
      <c r="D9">
        <f t="shared" si="1"/>
        <v>15</v>
      </c>
      <c r="E9" s="4">
        <f t="shared" si="2"/>
        <v>1.1608391608391608</v>
      </c>
      <c r="F9" s="2">
        <f t="shared" si="3"/>
        <v>3389.6503496503497</v>
      </c>
      <c r="G9">
        <f t="shared" si="4"/>
        <v>0.88245088245088255</v>
      </c>
    </row>
    <row r="10" spans="1:11" x14ac:dyDescent="0.3">
      <c r="A10">
        <v>9</v>
      </c>
      <c r="B10">
        <v>2850</v>
      </c>
      <c r="C10">
        <f t="shared" si="0"/>
        <v>2935</v>
      </c>
      <c r="D10">
        <f t="shared" si="1"/>
        <v>15</v>
      </c>
      <c r="E10" s="4">
        <f t="shared" si="2"/>
        <v>0.93006993006993011</v>
      </c>
      <c r="F10" s="2">
        <f t="shared" si="3"/>
        <v>2729.7552447552448</v>
      </c>
      <c r="G10">
        <f t="shared" si="4"/>
        <v>4.2191142191142177</v>
      </c>
    </row>
    <row r="11" spans="1:11" x14ac:dyDescent="0.3">
      <c r="A11">
        <v>10</v>
      </c>
      <c r="B11">
        <v>3030</v>
      </c>
      <c r="C11">
        <f t="shared" si="0"/>
        <v>2950</v>
      </c>
      <c r="D11">
        <f t="shared" si="1"/>
        <v>15</v>
      </c>
      <c r="E11" s="4">
        <f t="shared" si="2"/>
        <v>1.0314685314685315</v>
      </c>
      <c r="F11" s="2">
        <f t="shared" si="3"/>
        <v>3042.8321678321677</v>
      </c>
      <c r="G11">
        <f t="shared" si="4"/>
        <v>0.42350388885041818</v>
      </c>
    </row>
    <row r="12" spans="1:11" x14ac:dyDescent="0.3">
      <c r="A12">
        <v>11</v>
      </c>
      <c r="B12">
        <v>2550</v>
      </c>
      <c r="C12">
        <f t="shared" si="0"/>
        <v>2965</v>
      </c>
      <c r="D12">
        <f t="shared" si="1"/>
        <v>15</v>
      </c>
      <c r="E12" s="4">
        <f t="shared" si="2"/>
        <v>0.8776223776223776</v>
      </c>
      <c r="F12" s="2">
        <f t="shared" si="3"/>
        <v>2602.1503496503497</v>
      </c>
      <c r="G12">
        <f t="shared" si="4"/>
        <v>2.0451117509941041</v>
      </c>
    </row>
    <row r="13" spans="1:11" x14ac:dyDescent="0.3">
      <c r="A13">
        <v>12</v>
      </c>
      <c r="B13">
        <v>3390</v>
      </c>
      <c r="C13">
        <f t="shared" si="0"/>
        <v>2980</v>
      </c>
      <c r="D13">
        <f t="shared" si="1"/>
        <v>15</v>
      </c>
      <c r="E13" s="4">
        <f t="shared" si="2"/>
        <v>1.1608391608391608</v>
      </c>
      <c r="F13" s="2">
        <f t="shared" si="3"/>
        <v>3459.3006993006993</v>
      </c>
      <c r="G13">
        <f t="shared" si="4"/>
        <v>2.0442684159498321</v>
      </c>
    </row>
    <row r="14" spans="1:11" x14ac:dyDescent="0.3">
      <c r="C14" s="2"/>
      <c r="D14" s="2"/>
      <c r="E14" s="4"/>
      <c r="F14" s="5" t="s">
        <v>19</v>
      </c>
      <c r="G14">
        <f>AVERAGE(G6:G13)</f>
        <v>1.7235307553976189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9BD9-BE0A-4A97-8967-D69F10C078A9}">
  <dimension ref="A1:K33"/>
  <sheetViews>
    <sheetView tabSelected="1" workbookViewId="0">
      <selection activeCell="G17" sqref="G17"/>
    </sheetView>
  </sheetViews>
  <sheetFormatPr defaultRowHeight="14.4" x14ac:dyDescent="0.3"/>
  <sheetData>
    <row r="1" spans="1:11" x14ac:dyDescent="0.3">
      <c r="A1" s="3" t="s">
        <v>2</v>
      </c>
      <c r="B1" s="3" t="s">
        <v>13</v>
      </c>
      <c r="C1" s="3" t="s">
        <v>3</v>
      </c>
      <c r="D1" s="3" t="s">
        <v>14</v>
      </c>
      <c r="E1" s="3" t="s">
        <v>15</v>
      </c>
      <c r="F1" s="3" t="s">
        <v>5</v>
      </c>
      <c r="G1" s="3" t="s">
        <v>16</v>
      </c>
      <c r="I1" s="3" t="s">
        <v>6</v>
      </c>
      <c r="J1" s="3" t="s">
        <v>7</v>
      </c>
      <c r="K1" s="3" t="s">
        <v>17</v>
      </c>
    </row>
    <row r="2" spans="1:11" x14ac:dyDescent="0.3">
      <c r="A2">
        <v>1</v>
      </c>
      <c r="B2">
        <v>2660</v>
      </c>
      <c r="E2" s="2">
        <f>B2-$C$5</f>
        <v>-200</v>
      </c>
      <c r="I2">
        <v>0.18008396961002876</v>
      </c>
      <c r="J2">
        <v>0</v>
      </c>
      <c r="K2">
        <v>1</v>
      </c>
    </row>
    <row r="3" spans="1:11" x14ac:dyDescent="0.3">
      <c r="A3">
        <v>2</v>
      </c>
      <c r="B3">
        <v>2950</v>
      </c>
      <c r="E3" s="2">
        <f t="shared" ref="E3:E5" si="0">B3-$C$5</f>
        <v>90</v>
      </c>
    </row>
    <row r="4" spans="1:11" x14ac:dyDescent="0.3">
      <c r="A4">
        <v>3</v>
      </c>
      <c r="B4">
        <v>2510</v>
      </c>
      <c r="E4" s="2">
        <f t="shared" si="0"/>
        <v>-350</v>
      </c>
    </row>
    <row r="5" spans="1:11" x14ac:dyDescent="0.3">
      <c r="A5">
        <v>4</v>
      </c>
      <c r="B5">
        <v>3320</v>
      </c>
      <c r="C5">
        <f>SUM(B2:B5)/4</f>
        <v>2860</v>
      </c>
      <c r="D5">
        <f>0.25*0.25*(B6-B2+B7-B3+B8-B4+B9-B5)</f>
        <v>15</v>
      </c>
      <c r="E5" s="2">
        <f t="shared" si="0"/>
        <v>460</v>
      </c>
    </row>
    <row r="6" spans="1:11" x14ac:dyDescent="0.3">
      <c r="A6">
        <v>5</v>
      </c>
      <c r="B6">
        <v>2740</v>
      </c>
      <c r="C6">
        <f>$I$2*(B6-E2)+(1-$I$2)*(C5+D5)</f>
        <v>2886.7054580246518</v>
      </c>
      <c r="D6">
        <f>$J$2*(C6-C5)+(1-$J$2)*D5</f>
        <v>15</v>
      </c>
      <c r="E6" s="2">
        <f>$K$2*(B6-C6)+(1-$K$2)*E2</f>
        <v>-146.70545802465176</v>
      </c>
      <c r="F6" s="2">
        <f>C5+1*D5+E2</f>
        <v>2675</v>
      </c>
      <c r="G6">
        <f>ABS(B6-F6)/B6*100</f>
        <v>2.3722627737226274</v>
      </c>
    </row>
    <row r="7" spans="1:11" x14ac:dyDescent="0.3">
      <c r="A7">
        <v>6</v>
      </c>
      <c r="B7">
        <v>3010</v>
      </c>
      <c r="C7">
        <f t="shared" ref="C7:C13" si="1">$I$2*(B7-E3)+(1-$I$2)*(C6+D6)</f>
        <v>2905.0000117657701</v>
      </c>
      <c r="D7">
        <f t="shared" ref="D7:D13" si="2">$J$2*(C7-C6)+(1-$J$2)*D6</f>
        <v>15</v>
      </c>
      <c r="E7" s="2">
        <f t="shared" ref="E7:E13" si="3">$K$2*(B7-C7)+(1-$K$2)*E3</f>
        <v>104.99998823422993</v>
      </c>
      <c r="F7" s="2">
        <f t="shared" ref="F7:F30" si="4">C6+1*D6+E3</f>
        <v>2991.7054580246518</v>
      </c>
      <c r="G7">
        <f t="shared" ref="G7:G13" si="5">ABS(B7-F7)/B7*100</f>
        <v>0.60779209220426045</v>
      </c>
    </row>
    <row r="8" spans="1:11" x14ac:dyDescent="0.3">
      <c r="A8">
        <v>7</v>
      </c>
      <c r="B8">
        <v>2570</v>
      </c>
      <c r="C8">
        <f t="shared" si="1"/>
        <v>2920.0000096469439</v>
      </c>
      <c r="D8">
        <f t="shared" si="2"/>
        <v>15</v>
      </c>
      <c r="E8" s="2">
        <f t="shared" si="3"/>
        <v>-350.00000964694391</v>
      </c>
      <c r="F8" s="2">
        <f t="shared" si="4"/>
        <v>2570.0000117657701</v>
      </c>
      <c r="G8">
        <f t="shared" si="5"/>
        <v>4.5781206492024763E-7</v>
      </c>
    </row>
    <row r="9" spans="1:11" x14ac:dyDescent="0.3">
      <c r="A9">
        <v>8</v>
      </c>
      <c r="B9">
        <v>3360</v>
      </c>
      <c r="C9">
        <f t="shared" si="1"/>
        <v>2928.697068973333</v>
      </c>
      <c r="D9">
        <f t="shared" si="2"/>
        <v>15</v>
      </c>
      <c r="E9" s="2">
        <f t="shared" si="3"/>
        <v>431.30293102666701</v>
      </c>
      <c r="F9" s="2">
        <f t="shared" si="4"/>
        <v>3395.0000096469439</v>
      </c>
      <c r="G9">
        <f t="shared" si="5"/>
        <v>1.0416669537780925</v>
      </c>
    </row>
    <row r="10" spans="1:11" x14ac:dyDescent="0.3">
      <c r="A10">
        <v>9</v>
      </c>
      <c r="B10">
        <v>2850</v>
      </c>
      <c r="C10">
        <f t="shared" si="1"/>
        <v>2953.2430300963274</v>
      </c>
      <c r="D10">
        <f t="shared" si="2"/>
        <v>15</v>
      </c>
      <c r="E10" s="2">
        <f t="shared" si="3"/>
        <v>-103.2430300963274</v>
      </c>
      <c r="F10" s="2">
        <f t="shared" si="4"/>
        <v>2796.9916109486812</v>
      </c>
      <c r="G10">
        <f t="shared" si="5"/>
        <v>1.8599434754848692</v>
      </c>
    </row>
    <row r="11" spans="1:11" x14ac:dyDescent="0.3">
      <c r="A11">
        <v>10</v>
      </c>
      <c r="B11">
        <v>3030</v>
      </c>
      <c r="C11">
        <f t="shared" si="1"/>
        <v>2960.4556556974412</v>
      </c>
      <c r="D11">
        <f t="shared" si="2"/>
        <v>15</v>
      </c>
      <c r="E11" s="2">
        <f t="shared" si="3"/>
        <v>69.544344302558784</v>
      </c>
      <c r="F11" s="2">
        <f t="shared" si="4"/>
        <v>3073.2430183305573</v>
      </c>
      <c r="G11">
        <f t="shared" si="5"/>
        <v>1.427162321140506</v>
      </c>
    </row>
    <row r="12" spans="1:11" x14ac:dyDescent="0.3">
      <c r="A12">
        <v>11</v>
      </c>
      <c r="B12">
        <v>2550</v>
      </c>
      <c r="C12">
        <f t="shared" si="1"/>
        <v>2961.8673034271787</v>
      </c>
      <c r="D12">
        <f t="shared" si="2"/>
        <v>15</v>
      </c>
      <c r="E12" s="2">
        <f t="shared" si="3"/>
        <v>-411.86730342717874</v>
      </c>
      <c r="F12" s="2">
        <f t="shared" si="4"/>
        <v>2625.4556460504973</v>
      </c>
      <c r="G12">
        <f t="shared" si="5"/>
        <v>2.9590449431567571</v>
      </c>
    </row>
    <row r="13" spans="1:11" x14ac:dyDescent="0.3">
      <c r="A13">
        <v>12</v>
      </c>
      <c r="B13">
        <v>3390</v>
      </c>
      <c r="C13">
        <f t="shared" si="1"/>
        <v>2973.5951354779854</v>
      </c>
      <c r="D13">
        <f t="shared" si="2"/>
        <v>15</v>
      </c>
      <c r="E13" s="2">
        <f t="shared" si="3"/>
        <v>416.40486452201458</v>
      </c>
      <c r="F13" s="2">
        <f t="shared" si="4"/>
        <v>3408.1702344538458</v>
      </c>
      <c r="G13">
        <f t="shared" si="5"/>
        <v>0.53599511663261801</v>
      </c>
    </row>
    <row r="14" spans="1:11" x14ac:dyDescent="0.3">
      <c r="C14" s="2"/>
      <c r="D14" s="2"/>
      <c r="E14" s="2"/>
      <c r="F14" s="2"/>
      <c r="G14">
        <f>AVERAGE(G6:G13)</f>
        <v>1.3504835167414746</v>
      </c>
    </row>
    <row r="15" spans="1:11" x14ac:dyDescent="0.3">
      <c r="A15">
        <v>13</v>
      </c>
      <c r="C15" s="2"/>
      <c r="D15" s="2"/>
      <c r="E15" s="2"/>
      <c r="F15" s="12">
        <f>$C$13+1*$D$13+E10</f>
        <v>2885.352105381658</v>
      </c>
    </row>
    <row r="16" spans="1:11" x14ac:dyDescent="0.3">
      <c r="A16">
        <v>14</v>
      </c>
      <c r="C16" s="2"/>
      <c r="D16" s="2"/>
      <c r="E16" s="2"/>
      <c r="F16" s="12">
        <f>$C$13+2*$D$13+E11</f>
        <v>3073.1394797805442</v>
      </c>
    </row>
    <row r="17" spans="1:6" x14ac:dyDescent="0.3">
      <c r="A17">
        <v>15</v>
      </c>
      <c r="C17" s="2"/>
      <c r="D17" s="2"/>
      <c r="E17" s="2"/>
      <c r="F17" s="12">
        <f>$C$13+3*$D$13+E12</f>
        <v>2606.7278320508067</v>
      </c>
    </row>
    <row r="18" spans="1:6" x14ac:dyDescent="0.3">
      <c r="A18">
        <v>16</v>
      </c>
      <c r="C18" s="2"/>
      <c r="D18" s="2"/>
      <c r="E18" s="2"/>
      <c r="F18" s="12">
        <f>$C$13+4*$D$13+E13</f>
        <v>3450</v>
      </c>
    </row>
    <row r="19" spans="1:6" x14ac:dyDescent="0.3">
      <c r="C19" s="2"/>
      <c r="D19" s="2"/>
      <c r="E19" s="2"/>
      <c r="F19" s="2"/>
    </row>
    <row r="20" spans="1:6" x14ac:dyDescent="0.3">
      <c r="C20" s="2"/>
      <c r="D20" s="2"/>
      <c r="E20" s="2"/>
      <c r="F20" s="2"/>
    </row>
    <row r="21" spans="1:6" x14ac:dyDescent="0.3">
      <c r="C21" s="2"/>
      <c r="D21" s="2"/>
      <c r="E21" s="2"/>
      <c r="F21" s="2"/>
    </row>
    <row r="22" spans="1:6" x14ac:dyDescent="0.3">
      <c r="C22" s="2"/>
      <c r="D22" s="2"/>
      <c r="E22" s="2"/>
      <c r="F22" s="2"/>
    </row>
    <row r="23" spans="1:6" x14ac:dyDescent="0.3">
      <c r="C23" s="2"/>
      <c r="D23" s="2"/>
      <c r="E23" s="2"/>
      <c r="F23" s="2"/>
    </row>
    <row r="24" spans="1:6" x14ac:dyDescent="0.3">
      <c r="C24" s="2"/>
      <c r="D24" s="2"/>
      <c r="E24" s="2"/>
      <c r="F24" s="2"/>
    </row>
    <row r="25" spans="1:6" x14ac:dyDescent="0.3">
      <c r="C25" s="2"/>
      <c r="D25" s="2"/>
      <c r="E25" s="2"/>
      <c r="F25" s="2"/>
    </row>
    <row r="26" spans="1:6" x14ac:dyDescent="0.3">
      <c r="C26" s="2"/>
      <c r="D26" s="2"/>
      <c r="E26" s="2"/>
      <c r="F26" s="2"/>
    </row>
    <row r="27" spans="1:6" x14ac:dyDescent="0.3">
      <c r="C27" s="2"/>
      <c r="D27" s="2"/>
      <c r="E27" s="2"/>
      <c r="F27" s="2"/>
    </row>
    <row r="28" spans="1:6" x14ac:dyDescent="0.3">
      <c r="C28" s="2"/>
      <c r="D28" s="2"/>
      <c r="E28" s="2"/>
      <c r="F28" s="2"/>
    </row>
    <row r="29" spans="1:6" x14ac:dyDescent="0.3">
      <c r="C29" s="2"/>
      <c r="D29" s="2"/>
      <c r="E29" s="2"/>
      <c r="F29" s="2"/>
    </row>
    <row r="30" spans="1:6" x14ac:dyDescent="0.3">
      <c r="F30" s="2"/>
    </row>
    <row r="31" spans="1:6" x14ac:dyDescent="0.3">
      <c r="F31" s="2"/>
    </row>
    <row r="32" spans="1:6" x14ac:dyDescent="0.3">
      <c r="F32" s="2"/>
    </row>
    <row r="33" spans="6:6" x14ac:dyDescent="0.3">
      <c r="F3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6EAD-0251-4EE3-B89C-8878BB47AE61}">
  <dimension ref="A1:K14"/>
  <sheetViews>
    <sheetView workbookViewId="0">
      <selection sqref="A1:K14"/>
    </sheetView>
  </sheetViews>
  <sheetFormatPr defaultRowHeight="14.4" x14ac:dyDescent="0.3"/>
  <sheetData>
    <row r="1" spans="1:11" x14ac:dyDescent="0.3">
      <c r="A1" s="3" t="s">
        <v>2</v>
      </c>
      <c r="B1" s="3" t="s">
        <v>13</v>
      </c>
      <c r="C1" s="3" t="s">
        <v>3</v>
      </c>
      <c r="D1" s="3" t="s">
        <v>14</v>
      </c>
      <c r="E1" s="3" t="s">
        <v>15</v>
      </c>
      <c r="F1" s="3" t="s">
        <v>5</v>
      </c>
      <c r="G1" s="3" t="s">
        <v>16</v>
      </c>
      <c r="I1" s="3" t="s">
        <v>6</v>
      </c>
      <c r="J1" s="3" t="s">
        <v>7</v>
      </c>
      <c r="K1" s="3" t="s">
        <v>17</v>
      </c>
    </row>
    <row r="2" spans="1:11" x14ac:dyDescent="0.3">
      <c r="A2">
        <v>1</v>
      </c>
      <c r="B2">
        <v>2660</v>
      </c>
      <c r="E2" s="2">
        <f>B2-$C$5</f>
        <v>-200</v>
      </c>
      <c r="I2">
        <v>0</v>
      </c>
      <c r="J2">
        <v>0</v>
      </c>
      <c r="K2">
        <v>0</v>
      </c>
    </row>
    <row r="3" spans="1:11" x14ac:dyDescent="0.3">
      <c r="A3">
        <v>2</v>
      </c>
      <c r="B3">
        <v>2950</v>
      </c>
      <c r="E3" s="2">
        <f t="shared" ref="E3:E5" si="0">B3-$C$5</f>
        <v>90</v>
      </c>
    </row>
    <row r="4" spans="1:11" x14ac:dyDescent="0.3">
      <c r="A4">
        <v>3</v>
      </c>
      <c r="B4">
        <v>2510</v>
      </c>
      <c r="E4" s="2">
        <f t="shared" si="0"/>
        <v>-350</v>
      </c>
    </row>
    <row r="5" spans="1:11" x14ac:dyDescent="0.3">
      <c r="A5">
        <v>4</v>
      </c>
      <c r="B5">
        <v>3320</v>
      </c>
      <c r="C5">
        <f>SUM(B2:B5)/4</f>
        <v>2860</v>
      </c>
      <c r="D5">
        <f>0.25*0.25*(B6-B2+B7-B3+B8-B4+B9-B5)</f>
        <v>15</v>
      </c>
      <c r="E5" s="2">
        <f t="shared" si="0"/>
        <v>460</v>
      </c>
    </row>
    <row r="6" spans="1:11" x14ac:dyDescent="0.3">
      <c r="A6">
        <v>5</v>
      </c>
      <c r="B6">
        <v>2740</v>
      </c>
      <c r="C6">
        <f>$I$2*(B6-E2)+(1-$I$2)*(C5+D5)</f>
        <v>2875</v>
      </c>
      <c r="D6">
        <f>$J$2*(C6-C5)+(1-$J$2)*D5</f>
        <v>15</v>
      </c>
      <c r="E6" s="2">
        <f>$K$2*(B6-C6)+(1-$K$2)*E2</f>
        <v>-200</v>
      </c>
      <c r="F6" s="2">
        <f>C5+1*D5+E2</f>
        <v>2675</v>
      </c>
      <c r="G6">
        <f>ABS(B6-F6)/B6*100</f>
        <v>2.3722627737226274</v>
      </c>
    </row>
    <row r="7" spans="1:11" x14ac:dyDescent="0.3">
      <c r="A7">
        <v>6</v>
      </c>
      <c r="B7">
        <v>3010</v>
      </c>
      <c r="C7">
        <f t="shared" ref="C7:C13" si="1">$I$2*(B7-E3)+(1-$I$2)*(C6+D6)</f>
        <v>2890</v>
      </c>
      <c r="D7">
        <f t="shared" ref="D7:D13" si="2">$J$2*(C7-C6)+(1-$J$2)*D6</f>
        <v>15</v>
      </c>
      <c r="E7" s="2">
        <f t="shared" ref="E7:E13" si="3">$K$2*(B7-C7)+(1-$K$2)*E3</f>
        <v>90</v>
      </c>
      <c r="F7" s="2">
        <f t="shared" ref="F7:F14" si="4">C6+1*D6+E3</f>
        <v>2980</v>
      </c>
      <c r="G7">
        <f t="shared" ref="G7:G13" si="5">ABS(B7-F7)/B7*100</f>
        <v>0.99667774086378735</v>
      </c>
    </row>
    <row r="8" spans="1:11" x14ac:dyDescent="0.3">
      <c r="A8">
        <v>7</v>
      </c>
      <c r="B8">
        <v>2570</v>
      </c>
      <c r="C8">
        <f t="shared" si="1"/>
        <v>2905</v>
      </c>
      <c r="D8">
        <f t="shared" si="2"/>
        <v>15</v>
      </c>
      <c r="E8" s="2">
        <f t="shared" si="3"/>
        <v>-350</v>
      </c>
      <c r="F8" s="2">
        <f t="shared" si="4"/>
        <v>2555</v>
      </c>
      <c r="G8">
        <f t="shared" si="5"/>
        <v>0.58365758754863817</v>
      </c>
    </row>
    <row r="9" spans="1:11" x14ac:dyDescent="0.3">
      <c r="A9">
        <v>8</v>
      </c>
      <c r="B9">
        <v>3360</v>
      </c>
      <c r="C9">
        <f t="shared" si="1"/>
        <v>2920</v>
      </c>
      <c r="D9">
        <f t="shared" si="2"/>
        <v>15</v>
      </c>
      <c r="E9" s="2">
        <f t="shared" si="3"/>
        <v>460</v>
      </c>
      <c r="F9" s="2">
        <f t="shared" si="4"/>
        <v>3380</v>
      </c>
      <c r="G9">
        <f t="shared" si="5"/>
        <v>0.59523809523809523</v>
      </c>
    </row>
    <row r="10" spans="1:11" x14ac:dyDescent="0.3">
      <c r="A10">
        <v>9</v>
      </c>
      <c r="B10">
        <v>2850</v>
      </c>
      <c r="C10">
        <f t="shared" si="1"/>
        <v>2935</v>
      </c>
      <c r="D10">
        <f t="shared" si="2"/>
        <v>15</v>
      </c>
      <c r="E10" s="2">
        <f t="shared" si="3"/>
        <v>-200</v>
      </c>
      <c r="F10" s="2">
        <f t="shared" si="4"/>
        <v>2735</v>
      </c>
      <c r="G10">
        <f t="shared" si="5"/>
        <v>4.0350877192982457</v>
      </c>
    </row>
    <row r="11" spans="1:11" x14ac:dyDescent="0.3">
      <c r="A11">
        <v>10</v>
      </c>
      <c r="B11">
        <v>3030</v>
      </c>
      <c r="C11">
        <f t="shared" si="1"/>
        <v>2950</v>
      </c>
      <c r="D11">
        <f t="shared" si="2"/>
        <v>15</v>
      </c>
      <c r="E11" s="2">
        <f t="shared" si="3"/>
        <v>90</v>
      </c>
      <c r="F11" s="2">
        <f t="shared" si="4"/>
        <v>3040</v>
      </c>
      <c r="G11">
        <f t="shared" si="5"/>
        <v>0.33003300330033003</v>
      </c>
    </row>
    <row r="12" spans="1:11" x14ac:dyDescent="0.3">
      <c r="A12">
        <v>11</v>
      </c>
      <c r="B12">
        <v>2550</v>
      </c>
      <c r="C12">
        <f t="shared" si="1"/>
        <v>2965</v>
      </c>
      <c r="D12">
        <f t="shared" si="2"/>
        <v>15</v>
      </c>
      <c r="E12" s="2">
        <f t="shared" si="3"/>
        <v>-350</v>
      </c>
      <c r="F12" s="2">
        <f t="shared" si="4"/>
        <v>2615</v>
      </c>
      <c r="G12">
        <f t="shared" si="5"/>
        <v>2.5490196078431371</v>
      </c>
    </row>
    <row r="13" spans="1:11" x14ac:dyDescent="0.3">
      <c r="A13">
        <v>12</v>
      </c>
      <c r="B13">
        <v>3390</v>
      </c>
      <c r="C13">
        <f t="shared" si="1"/>
        <v>2980</v>
      </c>
      <c r="D13">
        <f t="shared" si="2"/>
        <v>15</v>
      </c>
      <c r="E13" s="2">
        <f t="shared" si="3"/>
        <v>460</v>
      </c>
      <c r="F13" s="2">
        <f t="shared" si="4"/>
        <v>3440</v>
      </c>
      <c r="G13">
        <f t="shared" si="5"/>
        <v>1.4749262536873156</v>
      </c>
    </row>
    <row r="14" spans="1:11" x14ac:dyDescent="0.3">
      <c r="C14" s="2"/>
      <c r="D14" s="2"/>
      <c r="E14" s="2"/>
      <c r="F14" s="2"/>
      <c r="G14">
        <f>AVERAGE(G6:G13)</f>
        <v>1.6171128476877721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1AAE-91ED-4BCC-885C-57A8059D8A28}">
  <dimension ref="A1:I38"/>
  <sheetViews>
    <sheetView topLeftCell="A13" workbookViewId="0">
      <selection activeCell="A17" sqref="A17:I41"/>
    </sheetView>
  </sheetViews>
  <sheetFormatPr defaultRowHeight="14.4" x14ac:dyDescent="0.3"/>
  <cols>
    <col min="7" max="7" width="12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</v>
      </c>
    </row>
    <row r="2" spans="1:8" x14ac:dyDescent="0.3">
      <c r="A2" s="1">
        <v>43101</v>
      </c>
      <c r="B2">
        <v>2660</v>
      </c>
      <c r="C2">
        <v>1</v>
      </c>
      <c r="D2">
        <f>SIN(2*PI()/8*C2)</f>
        <v>0.70710678118654746</v>
      </c>
      <c r="E2">
        <f>COS(2*PI()*C2/8)</f>
        <v>0.70710678118654757</v>
      </c>
      <c r="F2">
        <f>SIN(4*PI()*C2/8)</f>
        <v>1</v>
      </c>
      <c r="G2">
        <f>COS(4*PI()*C2/8)</f>
        <v>6.1257422745431001E-17</v>
      </c>
      <c r="H2">
        <v>2660</v>
      </c>
    </row>
    <row r="3" spans="1:8" x14ac:dyDescent="0.3">
      <c r="A3" s="1">
        <v>43191</v>
      </c>
      <c r="B3">
        <v>2950</v>
      </c>
      <c r="C3">
        <v>2</v>
      </c>
      <c r="D3">
        <f t="shared" ref="D3:D13" si="0">SIN(2*PI()/8*C3)</f>
        <v>1</v>
      </c>
      <c r="E3">
        <f t="shared" ref="E3:E13" si="1">COS(2*PI()*C3/8)</f>
        <v>6.1257422745431001E-17</v>
      </c>
      <c r="F3">
        <f t="shared" ref="F3:F13" si="2">SIN(4*PI()*C3/8)</f>
        <v>1.22514845490862E-16</v>
      </c>
      <c r="G3">
        <f t="shared" ref="G3:G13" si="3">COS(4*PI()*C3/8)</f>
        <v>-1</v>
      </c>
      <c r="H3">
        <v>2950</v>
      </c>
    </row>
    <row r="4" spans="1:8" x14ac:dyDescent="0.3">
      <c r="A4" s="1">
        <v>43282</v>
      </c>
      <c r="B4">
        <v>2510</v>
      </c>
      <c r="C4">
        <v>3</v>
      </c>
      <c r="D4">
        <f t="shared" si="0"/>
        <v>0.70710678118654757</v>
      </c>
      <c r="E4">
        <f t="shared" si="1"/>
        <v>-0.70710678118654746</v>
      </c>
      <c r="F4">
        <f t="shared" si="2"/>
        <v>-1</v>
      </c>
      <c r="G4">
        <f t="shared" si="3"/>
        <v>-1.83772268236293E-16</v>
      </c>
      <c r="H4">
        <v>2510</v>
      </c>
    </row>
    <row r="5" spans="1:8" x14ac:dyDescent="0.3">
      <c r="A5" s="1">
        <v>43374</v>
      </c>
      <c r="B5">
        <v>3320</v>
      </c>
      <c r="C5">
        <v>4</v>
      </c>
      <c r="D5">
        <f t="shared" si="0"/>
        <v>1.22514845490862E-16</v>
      </c>
      <c r="E5">
        <f t="shared" si="1"/>
        <v>-1</v>
      </c>
      <c r="F5">
        <f t="shared" si="2"/>
        <v>-2.45029690981724E-16</v>
      </c>
      <c r="G5">
        <f t="shared" si="3"/>
        <v>1</v>
      </c>
      <c r="H5">
        <v>3320</v>
      </c>
    </row>
    <row r="6" spans="1:8" x14ac:dyDescent="0.3">
      <c r="A6" s="1">
        <v>43466</v>
      </c>
      <c r="B6">
        <v>2740</v>
      </c>
      <c r="C6">
        <v>5</v>
      </c>
      <c r="D6">
        <f t="shared" si="0"/>
        <v>-0.70710678118654746</v>
      </c>
      <c r="E6">
        <f t="shared" si="1"/>
        <v>-0.70710678118654768</v>
      </c>
      <c r="F6">
        <f t="shared" si="2"/>
        <v>1</v>
      </c>
      <c r="G6">
        <f t="shared" si="3"/>
        <v>3.06287113727155E-16</v>
      </c>
      <c r="H6">
        <v>2740</v>
      </c>
    </row>
    <row r="7" spans="1:8" x14ac:dyDescent="0.3">
      <c r="A7" s="1">
        <v>43556</v>
      </c>
      <c r="B7">
        <v>3010</v>
      </c>
      <c r="C7">
        <v>6</v>
      </c>
      <c r="D7">
        <f t="shared" si="0"/>
        <v>-1</v>
      </c>
      <c r="E7">
        <f t="shared" si="1"/>
        <v>-1.83772268236293E-16</v>
      </c>
      <c r="F7">
        <f t="shared" si="2"/>
        <v>3.67544536472586E-16</v>
      </c>
      <c r="G7">
        <f t="shared" si="3"/>
        <v>-1</v>
      </c>
      <c r="H7">
        <v>3010</v>
      </c>
    </row>
    <row r="8" spans="1:8" x14ac:dyDescent="0.3">
      <c r="A8" s="1">
        <v>43647</v>
      </c>
      <c r="B8">
        <v>2570</v>
      </c>
      <c r="C8">
        <v>7</v>
      </c>
      <c r="D8">
        <f t="shared" si="0"/>
        <v>-0.70710678118654768</v>
      </c>
      <c r="E8">
        <f t="shared" si="1"/>
        <v>0.70710678118654735</v>
      </c>
      <c r="F8">
        <f t="shared" si="2"/>
        <v>-1</v>
      </c>
      <c r="G8">
        <f t="shared" si="3"/>
        <v>-4.28801959218017E-16</v>
      </c>
      <c r="H8">
        <v>2570</v>
      </c>
    </row>
    <row r="9" spans="1:8" x14ac:dyDescent="0.3">
      <c r="A9" s="1">
        <v>43739</v>
      </c>
      <c r="B9">
        <v>3360</v>
      </c>
      <c r="C9">
        <v>8</v>
      </c>
      <c r="D9">
        <f t="shared" si="0"/>
        <v>-2.45029690981724E-16</v>
      </c>
      <c r="E9">
        <f t="shared" si="1"/>
        <v>1</v>
      </c>
      <c r="F9">
        <f t="shared" si="2"/>
        <v>-4.90059381963448E-16</v>
      </c>
      <c r="G9">
        <f t="shared" si="3"/>
        <v>1</v>
      </c>
      <c r="H9">
        <v>3360</v>
      </c>
    </row>
    <row r="10" spans="1:8" x14ac:dyDescent="0.3">
      <c r="A10" s="1">
        <v>43831</v>
      </c>
      <c r="B10">
        <v>2850</v>
      </c>
      <c r="C10">
        <v>9</v>
      </c>
      <c r="D10">
        <f t="shared" si="0"/>
        <v>0.70710678118654735</v>
      </c>
      <c r="E10">
        <f t="shared" si="1"/>
        <v>0.70710678118654768</v>
      </c>
      <c r="F10">
        <f t="shared" si="2"/>
        <v>1</v>
      </c>
      <c r="G10">
        <f t="shared" si="3"/>
        <v>5.51316804708879E-16</v>
      </c>
      <c r="H10">
        <v>2850</v>
      </c>
    </row>
    <row r="11" spans="1:8" x14ac:dyDescent="0.3">
      <c r="A11" s="1">
        <v>43922</v>
      </c>
      <c r="B11">
        <v>3030</v>
      </c>
      <c r="C11">
        <v>10</v>
      </c>
      <c r="D11">
        <f t="shared" si="0"/>
        <v>1</v>
      </c>
      <c r="E11">
        <f t="shared" si="1"/>
        <v>3.06287113727155E-16</v>
      </c>
      <c r="F11">
        <f t="shared" si="2"/>
        <v>6.1257422745431001E-16</v>
      </c>
      <c r="G11">
        <f t="shared" si="3"/>
        <v>-1</v>
      </c>
      <c r="H11">
        <v>3030</v>
      </c>
    </row>
    <row r="12" spans="1:8" x14ac:dyDescent="0.3">
      <c r="A12" s="1">
        <v>44013</v>
      </c>
      <c r="B12">
        <v>2550</v>
      </c>
      <c r="C12">
        <v>11</v>
      </c>
      <c r="D12">
        <f t="shared" si="0"/>
        <v>0.70710678118654835</v>
      </c>
      <c r="E12">
        <f t="shared" si="1"/>
        <v>-0.70710678118654668</v>
      </c>
      <c r="F12">
        <f t="shared" si="2"/>
        <v>-1</v>
      </c>
      <c r="G12">
        <f t="shared" si="3"/>
        <v>-2.4501884895999915E-15</v>
      </c>
      <c r="H12">
        <v>2550</v>
      </c>
    </row>
    <row r="13" spans="1:8" x14ac:dyDescent="0.3">
      <c r="A13" s="1">
        <v>44105</v>
      </c>
      <c r="B13">
        <v>3390</v>
      </c>
      <c r="C13">
        <v>12</v>
      </c>
      <c r="D13">
        <f t="shared" si="0"/>
        <v>3.67544536472586E-16</v>
      </c>
      <c r="E13">
        <f t="shared" si="1"/>
        <v>-1</v>
      </c>
      <c r="F13">
        <f t="shared" si="2"/>
        <v>-7.3508907294517201E-16</v>
      </c>
      <c r="G13">
        <f t="shared" si="3"/>
        <v>1</v>
      </c>
      <c r="H13">
        <v>3390</v>
      </c>
    </row>
    <row r="17" spans="1:9" x14ac:dyDescent="0.3">
      <c r="A17" t="s">
        <v>20</v>
      </c>
    </row>
    <row r="18" spans="1:9" ht="15" thickBot="1" x14ac:dyDescent="0.35"/>
    <row r="19" spans="1:9" x14ac:dyDescent="0.3">
      <c r="A19" s="9" t="s">
        <v>21</v>
      </c>
      <c r="B19" s="9"/>
    </row>
    <row r="20" spans="1:9" x14ac:dyDescent="0.3">
      <c r="A20" s="6" t="s">
        <v>22</v>
      </c>
      <c r="B20" s="6">
        <v>0.55221668355860454</v>
      </c>
    </row>
    <row r="21" spans="1:9" x14ac:dyDescent="0.3">
      <c r="A21" s="6" t="s">
        <v>23</v>
      </c>
      <c r="B21" s="6">
        <v>0.30494326560046398</v>
      </c>
    </row>
    <row r="22" spans="1:9" x14ac:dyDescent="0.3">
      <c r="A22" s="6" t="s">
        <v>24</v>
      </c>
      <c r="B22" s="6">
        <v>-0.2742706797324827</v>
      </c>
    </row>
    <row r="23" spans="1:9" x14ac:dyDescent="0.3">
      <c r="A23" s="6" t="s">
        <v>25</v>
      </c>
      <c r="B23" s="6">
        <v>361.3504260542075</v>
      </c>
    </row>
    <row r="24" spans="1:9" ht="15" thickBot="1" x14ac:dyDescent="0.35">
      <c r="A24" s="7" t="s">
        <v>26</v>
      </c>
      <c r="B24" s="7">
        <v>12</v>
      </c>
    </row>
    <row r="26" spans="1:9" ht="15" thickBot="1" x14ac:dyDescent="0.35">
      <c r="A26" t="s">
        <v>27</v>
      </c>
    </row>
    <row r="27" spans="1:9" x14ac:dyDescent="0.3">
      <c r="A27" s="8"/>
      <c r="B27" s="8" t="s">
        <v>32</v>
      </c>
      <c r="C27" s="8" t="s">
        <v>33</v>
      </c>
      <c r="D27" s="8" t="s">
        <v>34</v>
      </c>
      <c r="E27" s="8" t="s">
        <v>35</v>
      </c>
      <c r="F27" s="8" t="s">
        <v>36</v>
      </c>
    </row>
    <row r="28" spans="1:9" x14ac:dyDescent="0.3">
      <c r="A28" s="6" t="s">
        <v>28</v>
      </c>
      <c r="B28" s="6">
        <v>5</v>
      </c>
      <c r="C28" s="6">
        <v>343721.88420932298</v>
      </c>
      <c r="D28" s="6">
        <v>68744.376841864592</v>
      </c>
      <c r="E28" s="6">
        <v>0.52647776880643804</v>
      </c>
      <c r="F28" s="6">
        <v>0.75088567708318399</v>
      </c>
    </row>
    <row r="29" spans="1:9" x14ac:dyDescent="0.3">
      <c r="A29" s="6" t="s">
        <v>29</v>
      </c>
      <c r="B29" s="6">
        <v>6</v>
      </c>
      <c r="C29" s="6">
        <v>783444.78245734377</v>
      </c>
      <c r="D29" s="6">
        <v>130574.1304095573</v>
      </c>
      <c r="E29" s="6"/>
      <c r="F29" s="6"/>
    </row>
    <row r="30" spans="1:9" ht="15" thickBot="1" x14ac:dyDescent="0.35">
      <c r="A30" s="7" t="s">
        <v>30</v>
      </c>
      <c r="B30" s="7">
        <v>11</v>
      </c>
      <c r="C30" s="7">
        <v>1127166.6666666667</v>
      </c>
      <c r="D30" s="7"/>
      <c r="E30" s="7"/>
      <c r="F30" s="7"/>
    </row>
    <row r="31" spans="1:9" ht="15" thickBot="1" x14ac:dyDescent="0.35"/>
    <row r="32" spans="1:9" x14ac:dyDescent="0.3">
      <c r="A32" s="8"/>
      <c r="B32" s="8" t="s">
        <v>37</v>
      </c>
      <c r="C32" s="8" t="s">
        <v>25</v>
      </c>
      <c r="D32" s="8" t="s">
        <v>38</v>
      </c>
      <c r="E32" s="8" t="s">
        <v>39</v>
      </c>
      <c r="F32" s="8" t="s">
        <v>40</v>
      </c>
      <c r="G32" s="8" t="s">
        <v>41</v>
      </c>
      <c r="H32" s="8" t="s">
        <v>42</v>
      </c>
      <c r="I32" s="8" t="s">
        <v>43</v>
      </c>
    </row>
    <row r="33" spans="1:9" x14ac:dyDescent="0.3">
      <c r="A33" s="6" t="s">
        <v>31</v>
      </c>
      <c r="B33" s="6">
        <v>2761.3460506082256</v>
      </c>
      <c r="C33" s="6">
        <v>232.74906839439589</v>
      </c>
      <c r="D33" s="6">
        <v>11.864047704496475</v>
      </c>
      <c r="E33" s="6">
        <v>2.1691667270713533E-5</v>
      </c>
      <c r="F33" s="6">
        <v>2191.8295968110269</v>
      </c>
      <c r="G33" s="6">
        <v>3330.8625044054243</v>
      </c>
      <c r="H33" s="6">
        <v>2191.8295968110269</v>
      </c>
      <c r="I33" s="6">
        <v>3330.8625044054243</v>
      </c>
    </row>
    <row r="34" spans="1:9" x14ac:dyDescent="0.3">
      <c r="A34" s="6" t="s">
        <v>2</v>
      </c>
      <c r="B34" s="6">
        <v>23.558469181242124</v>
      </c>
      <c r="C34" s="6">
        <v>31.57783398183625</v>
      </c>
      <c r="D34" s="6">
        <v>0.74604449421049868</v>
      </c>
      <c r="E34" s="6">
        <v>0.48383397252028471</v>
      </c>
      <c r="F34" s="6">
        <v>-53.709707022401339</v>
      </c>
      <c r="G34" s="6">
        <v>100.82664538488558</v>
      </c>
      <c r="H34" s="6">
        <v>-53.709707022401339</v>
      </c>
      <c r="I34" s="6">
        <v>100.82664538488558</v>
      </c>
    </row>
    <row r="35" spans="1:9" x14ac:dyDescent="0.3">
      <c r="A35" s="6" t="s">
        <v>9</v>
      </c>
      <c r="B35" s="6">
        <v>-28.777222944170134</v>
      </c>
      <c r="C35" s="6">
        <v>156.26786525076213</v>
      </c>
      <c r="D35" s="6">
        <v>-0.18415317121016206</v>
      </c>
      <c r="E35" s="6">
        <v>0.85995957223747577</v>
      </c>
      <c r="F35" s="6">
        <v>-411.1509143793852</v>
      </c>
      <c r="G35" s="6">
        <v>353.5964684910449</v>
      </c>
      <c r="H35" s="6">
        <v>-411.1509143793852</v>
      </c>
      <c r="I35" s="6">
        <v>353.5964684910449</v>
      </c>
    </row>
    <row r="36" spans="1:9" x14ac:dyDescent="0.3">
      <c r="A36" s="6" t="s">
        <v>10</v>
      </c>
      <c r="B36" s="6">
        <v>-35.761158483653574</v>
      </c>
      <c r="C36" s="6">
        <v>155.29145737724252</v>
      </c>
      <c r="D36" s="6">
        <v>-0.23028413209350343</v>
      </c>
      <c r="E36" s="6">
        <v>0.82552165385999055</v>
      </c>
      <c r="F36" s="6">
        <v>-415.74566592160221</v>
      </c>
      <c r="G36" s="6">
        <v>344.22334895429509</v>
      </c>
      <c r="H36" s="6">
        <v>-415.74566592160221</v>
      </c>
      <c r="I36" s="6">
        <v>344.22334895429509</v>
      </c>
    </row>
    <row r="37" spans="1:9" x14ac:dyDescent="0.3">
      <c r="A37" s="6" t="s">
        <v>11</v>
      </c>
      <c r="B37" s="6">
        <v>135.32078840353478</v>
      </c>
      <c r="C37" s="6">
        <v>155.0999185000164</v>
      </c>
      <c r="D37" s="6">
        <v>0.87247491624904028</v>
      </c>
      <c r="E37" s="6">
        <v>0.41649352547104557</v>
      </c>
      <c r="F37" s="6">
        <v>-244.19504028577427</v>
      </c>
      <c r="G37" s="6">
        <v>514.83661709284388</v>
      </c>
      <c r="H37" s="6">
        <v>-244.19504028577427</v>
      </c>
      <c r="I37" s="6">
        <v>514.83661709284388</v>
      </c>
    </row>
    <row r="38" spans="1:9" ht="15" thickBot="1" x14ac:dyDescent="0.35">
      <c r="A38" s="7" t="s">
        <v>12</v>
      </c>
      <c r="B38" s="7">
        <v>145.68513391412071</v>
      </c>
      <c r="C38" s="7">
        <v>155.09991850001643</v>
      </c>
      <c r="D38" s="7">
        <v>0.93929858457085702</v>
      </c>
      <c r="E38" s="7">
        <v>0.38383426916422075</v>
      </c>
      <c r="F38" s="7">
        <v>-233.83069477518839</v>
      </c>
      <c r="G38" s="7">
        <v>525.20096260342984</v>
      </c>
      <c r="H38" s="7">
        <v>-233.83069477518839</v>
      </c>
      <c r="I38" s="7">
        <v>525.20096260342984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Part 2</vt:lpstr>
      <vt:lpstr>Winter</vt:lpstr>
      <vt:lpstr>Sheet5</vt:lpstr>
      <vt:lpstr>Winter Additive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aarad</dc:creator>
  <cp:lastModifiedBy>aarad</cp:lastModifiedBy>
  <dcterms:created xsi:type="dcterms:W3CDTF">2021-11-24T04:21:42Z</dcterms:created>
  <dcterms:modified xsi:type="dcterms:W3CDTF">2021-11-24T05:42:23Z</dcterms:modified>
</cp:coreProperties>
</file>